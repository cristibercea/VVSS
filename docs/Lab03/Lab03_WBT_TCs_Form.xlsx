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8_{B25F082D-0CE5-4CAC-BEE8-86991E1E4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4" l="1"/>
  <c r="I17" i="4"/>
  <c r="B17" i="4"/>
</calcChain>
</file>

<file path=xl/sharedStrings.xml><?xml version="1.0" encoding="utf-8"?>
<sst xmlns="http://schemas.openxmlformats.org/spreadsheetml/2006/main" count="254" uniqueCount="123">
  <si>
    <t>Informaţiile vor fi preluate din fişiere text.</t>
  </si>
  <si>
    <t>…</t>
  </si>
  <si>
    <t>input data</t>
  </si>
  <si>
    <t>output data</t>
  </si>
  <si>
    <t>expected</t>
  </si>
  <si>
    <t>actual result</t>
  </si>
  <si>
    <t>..</t>
  </si>
  <si>
    <t>Final        TC No.</t>
  </si>
  <si>
    <t>...</t>
  </si>
  <si>
    <t>Req. ID</t>
  </si>
  <si>
    <t>Statistics</t>
  </si>
  <si>
    <t>Line No.</t>
  </si>
  <si>
    <t>Source code</t>
  </si>
  <si>
    <t>Predicate+1</t>
  </si>
  <si>
    <t>CC1 = No. of regions =</t>
  </si>
  <si>
    <t>Path No.</t>
  </si>
  <si>
    <t>Path</t>
  </si>
  <si>
    <t>Input</t>
  </si>
  <si>
    <t>Output</t>
  </si>
  <si>
    <t>Coverage</t>
  </si>
  <si>
    <t>Loop (lc)</t>
  </si>
  <si>
    <t>n-1</t>
  </si>
  <si>
    <t>n</t>
  </si>
  <si>
    <t>n+1</t>
  </si>
  <si>
    <t>m&lt;n</t>
  </si>
  <si>
    <t>T</t>
  </si>
  <si>
    <t>F</t>
  </si>
  <si>
    <t>TC No.</t>
  </si>
  <si>
    <t>TC No</t>
  </si>
  <si>
    <t>WBT Implemented TCs</t>
  </si>
  <si>
    <t>Req02_L01</t>
  </si>
  <si>
    <t>Req02_L02</t>
  </si>
  <si>
    <t>Req02_L03</t>
  </si>
  <si>
    <t>&lt;Req02 CFG &gt;</t>
  </si>
  <si>
    <t>Proiectaţi şi implementaţi o aplicaţie Java pentru rezolvarea problemei propuse. Se va evidenţia o arhitectură stratificată.</t>
  </si>
  <si>
    <t>Statement (sc)</t>
  </si>
  <si>
    <t>Condition/ decision (dc, cc, dcc, mcc)</t>
  </si>
  <si>
    <t>CC2 = Edges - Nodes + 2 =</t>
  </si>
  <si>
    <t>CC3 = No. of Conditions + 1 =</t>
  </si>
  <si>
    <t xml:space="preserve">Lab03. White-box Testing. Code Coverage 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</si>
  <si>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</si>
  <si>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</si>
  <si>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</si>
  <si>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</si>
  <si>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t>F02</t>
  </si>
  <si>
    <t xml:space="preserve">F02. Covered source code </t>
  </si>
  <si>
    <t>F02. Control Flow Graph (CFG)</t>
  </si>
  <si>
    <t>F02. Cyclomatic Complexity (CC)</t>
  </si>
  <si>
    <t>F02. Individual Paths</t>
  </si>
  <si>
    <t>F02_TC01</t>
  </si>
  <si>
    <t>F02_TC02</t>
  </si>
  <si>
    <t>F02_P01</t>
  </si>
  <si>
    <t>F02_P02</t>
  </si>
  <si>
    <t>F02_P03</t>
  </si>
  <si>
    <t>[Unit WBT]</t>
  </si>
  <si>
    <t>Echipa</t>
  </si>
  <si>
    <t>Grupa</t>
  </si>
  <si>
    <t>Student 1:</t>
  </si>
  <si>
    <t>Student 2:</t>
  </si>
  <si>
    <t>Student 3:</t>
  </si>
  <si>
    <t>Numele si prenumele</t>
  </si>
  <si>
    <t>Path (apc)</t>
  </si>
  <si>
    <t>Criteriile de acoperire la nivelul codului sursa sunt exemplificate pentru problema de mai jos. Studentii vor aplica aceeasi modalitate de lucru pentru proiectul primit in Lab01.</t>
  </si>
  <si>
    <t>Testare</t>
  </si>
  <si>
    <t>Depanare</t>
  </si>
  <si>
    <t>Re-testare</t>
  </si>
  <si>
    <t>Testare de regresie</t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</si>
  <si>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</si>
  <si>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</si>
  <si>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</si>
  <si>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</si>
  <si>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</si>
  <si>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</si>
  <si>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</si>
  <si>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Se va insera CFG asociat codului sursa testat (poza, diagrama, etc.).</t>
  </si>
  <si>
    <t>VVSS, Info Romana, 2025-2026</t>
  </si>
  <si>
    <t>Bercea Cristian</t>
  </si>
  <si>
    <t>Agoston Nikolett</t>
  </si>
  <si>
    <t>1. Proiectarea unui sistem de gestiune a unui magazin de băuturi</t>
  </si>
  <si>
    <t>Programul va permite următoarele operaţii:</t>
  </si>
  <si>
    <r>
      <rPr>
        <b/>
        <sz val="11"/>
        <color rgb="FF000000"/>
        <rFont val="Calibri"/>
      </rPr>
      <t>F02.</t>
    </r>
    <r>
      <rPr>
        <sz val="11"/>
        <color rgb="FF000000"/>
        <rFont val="Calibri"/>
      </rPr>
      <t xml:space="preserve"> actualizarea stocului disponibil în urma consumului unei cantități de ingrediente specificată într-o rețetă</t>
    </r>
  </si>
  <si>
    <r>
      <rPr>
        <b/>
        <sz val="11"/>
        <color rgb="FF000000"/>
        <rFont val="Calibri"/>
      </rPr>
      <t>F02. actualizarea stocului disponibil în urma consumului unei cantități de ingrediente specificată într-o rețetă</t>
    </r>
    <r>
      <rPr>
        <sz val="11"/>
        <color rgb="FF000000"/>
        <rFont val="Calibri"/>
      </rPr>
      <t>.</t>
    </r>
  </si>
  <si>
    <t>F02. actualizarea stocului disponibil în urma consumului unei cantități de ingrediente specificată într-o rețetă.</t>
  </si>
  <si>
    <t>!areSuficient(reteta)</t>
  </si>
  <si>
    <t>reteta.getIngrediente().iterator().hasNext()</t>
  </si>
  <si>
    <t>stocRepo.findAll().iterator().hasNext()</t>
  </si>
  <si>
    <t>obj.getIngredient().equalsIgnoreCase(e.getDenumire())</t>
  </si>
  <si>
    <t>ingredienteStoc.iterator().hasNext()</t>
  </si>
  <si>
    <t>F02_P04</t>
  </si>
  <si>
    <t>F02_P05</t>
  </si>
  <si>
    <t>F02_P06</t>
  </si>
  <si>
    <t>5+1=6</t>
  </si>
  <si>
    <t>15-11+2=6</t>
  </si>
  <si>
    <t>F02_TC03</t>
  </si>
  <si>
    <t>F02_TC04</t>
  </si>
  <si>
    <t>F02_TC05</t>
  </si>
  <si>
    <t>F02_TC06</t>
  </si>
  <si>
    <t>57 - 58(T) - 77</t>
  </si>
  <si>
    <t>57 - 58(F) - 60(F) - 77</t>
  </si>
  <si>
    <t>da</t>
  </si>
  <si>
    <t>57 - 58(F) - 60(T) - 62 - 63(F) - 68 - 69(F) - 60(F) - 77</t>
  </si>
  <si>
    <t>57 - 58(F) - 60(T) - 62 - 63(F) - 68 - 69(T) - 70..74 - 69(F) - 60(F) - 77</t>
  </si>
  <si>
    <t>57 - 58(F) - 60(T) - 62 - 63(T) - 64(F) - 63(F) - 68 - 69(F) - 60(F) - 77</t>
  </si>
  <si>
    <t>57 - 58(F) - 60(T) - 62 - 63(T) - 64(T) - 65 - 63(F) - 68 - 69(F) - 60(F) - 77</t>
  </si>
  <si>
    <t>-</t>
  </si>
  <si>
    <t>57,58,59</t>
  </si>
  <si>
    <t>x</t>
  </si>
  <si>
    <t>57,58,60</t>
  </si>
  <si>
    <t>57,58,60,62,63,68,69</t>
  </si>
  <si>
    <t>57,58,60,62,63,64,68,69</t>
  </si>
  <si>
    <t>57,58,60,62,63,64,65,68,69,70,71,72,74</t>
  </si>
  <si>
    <t>57,58,60,62,63,68,69,70,71,72,74</t>
  </si>
  <si>
    <t>IllegalStateException("Stoc insuficient pentru rețeta.")</t>
  </si>
  <si>
    <t>nu se actualizeaza stocurile din repository</t>
  </si>
  <si>
    <r>
      <rPr>
        <b/>
        <sz val="11"/>
        <color theme="1"/>
        <rFont val="Calibri"/>
        <family val="2"/>
        <scheme val="minor"/>
      </rPr>
      <t>Notă</t>
    </r>
    <r>
      <rPr>
        <sz val="11"/>
        <color theme="1"/>
        <rFont val="Calibri"/>
        <family val="2"/>
        <scheme val="minor"/>
      </rPr>
      <t>: cazul de testare F02_TC04 este irealizabil din cauza dependențelor dintre loop-urile de la liniile 63 și 69 din codul funcției "consuma()"; nu exisa input în domeniul problemei astfel încât acest test să poată fi realizat; tocmai de aceeea, pentru a avea dc,cc,dcc,mcc maxime, testul F02_TC04 va acoperi și loop-ul de la linia 69</t>
    </r>
  </si>
  <si>
    <t>nerealizabil</t>
  </si>
  <si>
    <t>se actualizeaza stocurile din repository</t>
  </si>
  <si>
    <t>Reteta(2000, [(apa,2), (cafea_macinata,1400)])</t>
  </si>
  <si>
    <t>Reteta(2000, [])</t>
  </si>
  <si>
    <t>Reteta(2000, [(apa,2), (cafea_macinata,2)]); FileStocRepository = NIL</t>
  </si>
  <si>
    <t>Reteta(2000, [(sare, 10)])</t>
  </si>
  <si>
    <t>Reteta(2000, [(apa,2), (cafea_macinata,2)])</t>
  </si>
  <si>
    <r>
      <rPr>
        <b/>
        <sz val="11"/>
        <color theme="1"/>
        <rFont val="Calibri"/>
        <family val="2"/>
        <scheme val="minor"/>
      </rPr>
      <t>Notă</t>
    </r>
    <r>
      <rPr>
        <sz val="11"/>
        <color theme="1"/>
        <rFont val="Calibri"/>
        <family val="2"/>
        <scheme val="minor"/>
      </rPr>
      <t xml:space="preserve">: cazul de testare F02_TC05 este acoperit de cazul de testare F02_TC01, deoarece areSuficient() returnează fals și pentru ingrediente care nu există în stoc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</si>
</sst>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2" xfId="0" applyFont="1" applyBorder="1"/>
    <xf numFmtId="0" fontId="10" fillId="2" borderId="3" xfId="0" applyFont="1" applyFill="1" applyBorder="1" applyAlignment="1">
      <alignment horizontal="center"/>
    </xf>
    <xf numFmtId="0" fontId="11" fillId="2" borderId="3" xfId="0" applyFont="1" applyFill="1" applyBorder="1"/>
    <xf numFmtId="0" fontId="10" fillId="2" borderId="4" xfId="0" applyFont="1" applyFill="1" applyBorder="1"/>
    <xf numFmtId="0" fontId="0" fillId="0" borderId="0" xfId="0" applyAlignment="1">
      <alignment vertical="center"/>
    </xf>
    <xf numFmtId="0" fontId="12" fillId="0" borderId="0" xfId="0" applyFont="1"/>
    <xf numFmtId="0" fontId="13" fillId="3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0" xfId="0" applyFont="1"/>
    <xf numFmtId="0" fontId="0" fillId="2" borderId="6" xfId="0" applyFill="1" applyBorder="1"/>
    <xf numFmtId="0" fontId="0" fillId="2" borderId="8" xfId="0" applyFill="1" applyBorder="1"/>
    <xf numFmtId="0" fontId="0" fillId="0" borderId="6" xfId="0" applyBorder="1"/>
    <xf numFmtId="0" fontId="0" fillId="2" borderId="9" xfId="0" applyFill="1" applyBorder="1"/>
    <xf numFmtId="0" fontId="0" fillId="2" borderId="10" xfId="0" applyFill="1" applyBorder="1"/>
    <xf numFmtId="0" fontId="7" fillId="8" borderId="0" xfId="0" applyFont="1" applyFill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17" fillId="0" borderId="0" xfId="0" applyFont="1"/>
    <xf numFmtId="0" fontId="19" fillId="0" borderId="0" xfId="0" applyFont="1"/>
    <xf numFmtId="0" fontId="15" fillId="3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 wrapText="1"/>
    </xf>
    <xf numFmtId="0" fontId="0" fillId="13" borderId="0" xfId="0" applyFill="1"/>
    <xf numFmtId="0" fontId="14" fillId="14" borderId="6" xfId="0" applyFont="1" applyFill="1" applyBorder="1" applyAlignment="1">
      <alignment vertical="center" wrapText="1"/>
    </xf>
    <xf numFmtId="0" fontId="14" fillId="14" borderId="6" xfId="0" applyFont="1" applyFill="1" applyBorder="1" applyAlignment="1">
      <alignment horizontal="left" vertical="center" wrapText="1"/>
    </xf>
    <xf numFmtId="0" fontId="14" fillId="14" borderId="6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20" fillId="14" borderId="6" xfId="0" applyFon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9" fontId="0" fillId="7" borderId="6" xfId="0" applyNumberFormat="1" applyFill="1" applyBorder="1"/>
    <xf numFmtId="0" fontId="7" fillId="14" borderId="18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19" fillId="8" borderId="9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wrapText="1"/>
    </xf>
    <xf numFmtId="0" fontId="0" fillId="8" borderId="11" xfId="0" applyFill="1" applyBorder="1" applyAlignment="1">
      <alignment horizontal="center" wrapText="1"/>
    </xf>
    <xf numFmtId="0" fontId="0" fillId="8" borderId="5" xfId="0" applyFill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9" fontId="0" fillId="7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21772</xdr:colOff>
      <xdr:row>6</xdr:row>
      <xdr:rowOff>89506</xdr:rowOff>
    </xdr:from>
    <xdr:to>
      <xdr:col>15</xdr:col>
      <xdr:colOff>224972</xdr:colOff>
      <xdr:row>32</xdr:row>
      <xdr:rowOff>21772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2E0586-432B-428E-E8BF-4116E23EC612}"/>
            </a:ext>
            <a:ext uri="{147F2762-F138-4A5C-976F-8EAC2B608ADB}">
              <a16:predDERef xmlns:a16="http://schemas.microsoft.com/office/drawing/2014/main" pred="{64AEE7E1-D761-37DC-C0B0-B913F2F48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4772" y="1199849"/>
          <a:ext cx="4470400" cy="4743752"/>
        </a:xfrm>
        <a:prstGeom prst="rect">
          <a:avLst/>
        </a:prstGeom>
      </xdr:spPr>
    </xdr:pic>
    <xdr:clientData/>
  </xdr:twoCellAnchor>
  <xdr:twoCellAnchor editAs="oneCell">
    <xdr:from>
      <xdr:col>0</xdr:col>
      <xdr:colOff>40105</xdr:colOff>
      <xdr:row>6</xdr:row>
      <xdr:rowOff>130342</xdr:rowOff>
    </xdr:from>
    <xdr:to>
      <xdr:col>8</xdr:col>
      <xdr:colOff>34569</xdr:colOff>
      <xdr:row>24</xdr:row>
      <xdr:rowOff>4244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7A0DFD-002B-CAA1-D333-0C3ACD9DE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05" y="1213184"/>
          <a:ext cx="4957490" cy="312242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tabSelected="1" workbookViewId="0">
      <selection activeCell="E9" sqref="E9"/>
    </sheetView>
  </sheetViews>
  <sheetFormatPr defaultColWidth="8.88671875" defaultRowHeight="14.4" x14ac:dyDescent="0.3"/>
  <cols>
    <col min="2" max="2" width="36.5546875" bestFit="1" customWidth="1"/>
    <col min="15" max="15" width="19.6640625" customWidth="1"/>
  </cols>
  <sheetData>
    <row r="1" spans="2:16" x14ac:dyDescent="0.3">
      <c r="B1" s="8"/>
      <c r="D1" s="64" t="s">
        <v>75</v>
      </c>
      <c r="E1" s="65"/>
      <c r="F1" s="65"/>
      <c r="G1" s="66"/>
    </row>
    <row r="2" spans="2:16" x14ac:dyDescent="0.3">
      <c r="B2" s="31" t="s">
        <v>62</v>
      </c>
    </row>
    <row r="4" spans="2:16" x14ac:dyDescent="0.3">
      <c r="B4" s="1" t="s">
        <v>54</v>
      </c>
      <c r="N4" s="3" t="s">
        <v>39</v>
      </c>
      <c r="O4" s="3"/>
      <c r="P4" s="3"/>
    </row>
    <row r="5" spans="2:16" x14ac:dyDescent="0.3">
      <c r="B5" s="1" t="s">
        <v>34</v>
      </c>
      <c r="N5" s="28" t="s">
        <v>55</v>
      </c>
      <c r="O5" s="28"/>
      <c r="P5" s="28"/>
    </row>
    <row r="6" spans="2:16" x14ac:dyDescent="0.3">
      <c r="B6" s="1" t="s">
        <v>0</v>
      </c>
      <c r="N6" s="21"/>
      <c r="O6" s="21" t="s">
        <v>60</v>
      </c>
      <c r="P6" s="21" t="s">
        <v>56</v>
      </c>
    </row>
    <row r="7" spans="2:16" x14ac:dyDescent="0.3">
      <c r="B7" s="1"/>
      <c r="C7" s="1"/>
      <c r="D7" s="1"/>
      <c r="E7" s="1"/>
      <c r="N7" s="21" t="s">
        <v>57</v>
      </c>
      <c r="O7" s="21" t="s">
        <v>77</v>
      </c>
      <c r="P7" s="21">
        <v>231</v>
      </c>
    </row>
    <row r="8" spans="2:16" x14ac:dyDescent="0.3">
      <c r="B8" s="1"/>
      <c r="C8" s="1"/>
      <c r="D8" s="1"/>
      <c r="E8" s="1"/>
      <c r="N8" s="21" t="s">
        <v>58</v>
      </c>
      <c r="O8" s="21" t="s">
        <v>76</v>
      </c>
      <c r="P8" s="21">
        <v>231</v>
      </c>
    </row>
    <row r="9" spans="2:16" x14ac:dyDescent="0.3">
      <c r="B9" t="s">
        <v>78</v>
      </c>
      <c r="C9" s="1"/>
      <c r="D9" s="1"/>
      <c r="E9" s="1"/>
      <c r="N9" s="21" t="s">
        <v>59</v>
      </c>
      <c r="O9" s="21" t="s">
        <v>104</v>
      </c>
      <c r="P9" s="21" t="s">
        <v>104</v>
      </c>
    </row>
    <row r="10" spans="2:16" x14ac:dyDescent="0.3">
      <c r="B10" t="s">
        <v>79</v>
      </c>
      <c r="C10" s="1"/>
      <c r="D10" s="1"/>
      <c r="E10" s="1"/>
    </row>
    <row r="11" spans="2:16" x14ac:dyDescent="0.3">
      <c r="B11" s="32" t="s">
        <v>80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zoomScale="70" zoomScaleNormal="70" workbookViewId="0">
      <selection activeCell="F6" sqref="F6"/>
    </sheetView>
  </sheetViews>
  <sheetFormatPr defaultColWidth="8.88671875" defaultRowHeight="14.4" x14ac:dyDescent="0.3"/>
  <cols>
    <col min="2" max="2" width="10" customWidth="1"/>
    <col min="17" max="17" width="10.6640625" customWidth="1"/>
    <col min="20" max="20" width="39.88671875" customWidth="1"/>
  </cols>
  <sheetData>
    <row r="1" spans="2:20" x14ac:dyDescent="0.3">
      <c r="B1" s="8"/>
      <c r="D1" s="64" t="s">
        <v>75</v>
      </c>
      <c r="E1" s="65"/>
      <c r="F1" s="65"/>
      <c r="G1" s="65"/>
      <c r="H1" s="65"/>
      <c r="I1" s="66"/>
    </row>
    <row r="3" spans="2:20" x14ac:dyDescent="0.3">
      <c r="B3" s="75" t="s">
        <v>81</v>
      </c>
      <c r="C3" s="76"/>
      <c r="D3" s="76"/>
      <c r="E3" s="76"/>
      <c r="F3" s="76"/>
      <c r="G3" s="76"/>
      <c r="H3" s="76"/>
      <c r="I3" s="76"/>
      <c r="J3" s="76"/>
      <c r="K3" s="77"/>
    </row>
    <row r="6" spans="2:20" x14ac:dyDescent="0.3">
      <c r="B6" s="64" t="s">
        <v>45</v>
      </c>
      <c r="C6" s="65"/>
      <c r="D6" s="65"/>
      <c r="E6" s="66"/>
      <c r="F6" s="24"/>
      <c r="G6" s="24"/>
      <c r="I6" s="64" t="s">
        <v>46</v>
      </c>
      <c r="J6" s="65"/>
      <c r="K6" s="65"/>
      <c r="L6" s="65"/>
      <c r="M6" s="65"/>
      <c r="N6" s="65"/>
      <c r="O6" s="65"/>
      <c r="Q6" s="64" t="s">
        <v>47</v>
      </c>
      <c r="R6" s="65"/>
      <c r="S6" s="65"/>
      <c r="T6" s="65"/>
    </row>
    <row r="8" spans="2:20" x14ac:dyDescent="0.3">
      <c r="B8" s="25" t="s">
        <v>11</v>
      </c>
      <c r="C8" s="87" t="s">
        <v>12</v>
      </c>
      <c r="D8" s="87"/>
      <c r="E8" s="87"/>
      <c r="F8" s="26"/>
      <c r="G8" s="26"/>
      <c r="I8" s="8" t="s">
        <v>74</v>
      </c>
      <c r="Q8" s="74" t="s">
        <v>14</v>
      </c>
      <c r="R8" s="74"/>
      <c r="S8" s="74"/>
      <c r="T8" s="27">
        <v>6</v>
      </c>
    </row>
    <row r="9" spans="2:20" x14ac:dyDescent="0.3">
      <c r="B9" s="28" t="s">
        <v>30</v>
      </c>
      <c r="C9" s="73" t="s">
        <v>1</v>
      </c>
      <c r="D9" s="73"/>
      <c r="E9" s="73"/>
      <c r="F9" s="29"/>
      <c r="G9" s="29"/>
      <c r="I9" s="30"/>
      <c r="Q9" s="74" t="s">
        <v>37</v>
      </c>
      <c r="R9" s="74"/>
      <c r="S9" s="74"/>
      <c r="T9" s="27" t="s">
        <v>92</v>
      </c>
    </row>
    <row r="10" spans="2:20" x14ac:dyDescent="0.3">
      <c r="B10" s="28" t="s">
        <v>31</v>
      </c>
      <c r="C10" s="73" t="s">
        <v>1</v>
      </c>
      <c r="D10" s="73"/>
      <c r="E10" s="73"/>
      <c r="F10" s="29"/>
      <c r="G10" s="29"/>
      <c r="I10" s="78" t="s">
        <v>33</v>
      </c>
      <c r="J10" s="79"/>
      <c r="K10" s="79"/>
      <c r="L10" s="79"/>
      <c r="M10" s="79"/>
      <c r="N10" s="79"/>
      <c r="O10" s="80"/>
      <c r="Q10" s="74" t="s">
        <v>38</v>
      </c>
      <c r="R10" s="74" t="s">
        <v>13</v>
      </c>
      <c r="S10" s="74"/>
      <c r="T10" s="27" t="s">
        <v>91</v>
      </c>
    </row>
    <row r="11" spans="2:20" x14ac:dyDescent="0.3">
      <c r="B11" s="28" t="s">
        <v>32</v>
      </c>
      <c r="C11" s="73" t="s">
        <v>1</v>
      </c>
      <c r="D11" s="73"/>
      <c r="E11" s="73"/>
      <c r="F11" s="29"/>
      <c r="G11" s="29"/>
      <c r="I11" s="81"/>
      <c r="J11" s="82"/>
      <c r="K11" s="82"/>
      <c r="L11" s="82"/>
      <c r="M11" s="82"/>
      <c r="N11" s="82"/>
      <c r="O11" s="83"/>
    </row>
    <row r="12" spans="2:20" x14ac:dyDescent="0.3">
      <c r="B12" s="28" t="s">
        <v>8</v>
      </c>
      <c r="C12" s="73" t="s">
        <v>1</v>
      </c>
      <c r="D12" s="73"/>
      <c r="E12" s="73"/>
      <c r="F12" s="29"/>
      <c r="G12" s="29"/>
      <c r="I12" s="81"/>
      <c r="J12" s="82"/>
      <c r="K12" s="82"/>
      <c r="L12" s="82"/>
      <c r="M12" s="82"/>
      <c r="N12" s="82"/>
      <c r="O12" s="83"/>
    </row>
    <row r="13" spans="2:20" x14ac:dyDescent="0.3">
      <c r="B13" s="28" t="s">
        <v>6</v>
      </c>
      <c r="C13" s="73" t="s">
        <v>1</v>
      </c>
      <c r="D13" s="73"/>
      <c r="E13" s="73"/>
      <c r="F13" s="29"/>
      <c r="G13" s="29"/>
      <c r="I13" s="81"/>
      <c r="J13" s="82"/>
      <c r="K13" s="82"/>
      <c r="L13" s="82"/>
      <c r="M13" s="82"/>
      <c r="N13" s="82"/>
      <c r="O13" s="83"/>
      <c r="Q13" s="64" t="s">
        <v>48</v>
      </c>
      <c r="R13" s="65"/>
      <c r="S13" s="65"/>
      <c r="T13" s="65"/>
    </row>
    <row r="14" spans="2:20" x14ac:dyDescent="0.3">
      <c r="B14" s="28" t="s">
        <v>8</v>
      </c>
      <c r="C14" s="73" t="s">
        <v>1</v>
      </c>
      <c r="D14" s="73"/>
      <c r="E14" s="73"/>
      <c r="F14" s="29"/>
      <c r="G14" s="29"/>
      <c r="I14" s="81"/>
      <c r="J14" s="82"/>
      <c r="K14" s="82"/>
      <c r="L14" s="82"/>
      <c r="M14" s="82"/>
      <c r="N14" s="82"/>
      <c r="O14" s="83"/>
    </row>
    <row r="15" spans="2:20" x14ac:dyDescent="0.3">
      <c r="I15" s="81"/>
      <c r="J15" s="82"/>
      <c r="K15" s="82"/>
      <c r="L15" s="82"/>
      <c r="M15" s="82"/>
      <c r="N15" s="82"/>
      <c r="O15" s="83"/>
      <c r="Q15" s="25" t="s">
        <v>15</v>
      </c>
      <c r="R15" s="87" t="s">
        <v>16</v>
      </c>
      <c r="S15" s="87"/>
      <c r="T15" s="87"/>
    </row>
    <row r="16" spans="2:20" x14ac:dyDescent="0.3">
      <c r="I16" s="81"/>
      <c r="J16" s="82"/>
      <c r="K16" s="82"/>
      <c r="L16" s="82"/>
      <c r="M16" s="82"/>
      <c r="N16" s="82"/>
      <c r="O16" s="83"/>
      <c r="Q16" s="28" t="s">
        <v>51</v>
      </c>
      <c r="R16" s="72" t="s">
        <v>97</v>
      </c>
      <c r="S16" s="72"/>
      <c r="T16" s="72"/>
    </row>
    <row r="17" spans="9:20" x14ac:dyDescent="0.3">
      <c r="I17" s="81"/>
      <c r="J17" s="82"/>
      <c r="K17" s="82"/>
      <c r="L17" s="82"/>
      <c r="M17" s="82"/>
      <c r="N17" s="82"/>
      <c r="O17" s="83"/>
      <c r="Q17" s="28" t="s">
        <v>52</v>
      </c>
      <c r="R17" s="72" t="s">
        <v>98</v>
      </c>
      <c r="S17" s="72"/>
      <c r="T17" s="72"/>
    </row>
    <row r="18" spans="9:20" x14ac:dyDescent="0.3">
      <c r="I18" s="81"/>
      <c r="J18" s="82"/>
      <c r="K18" s="82"/>
      <c r="L18" s="82"/>
      <c r="M18" s="82"/>
      <c r="N18" s="82"/>
      <c r="O18" s="83"/>
      <c r="Q18" s="28" t="s">
        <v>53</v>
      </c>
      <c r="R18" s="72" t="s">
        <v>100</v>
      </c>
      <c r="S18" s="72"/>
      <c r="T18" s="72"/>
    </row>
    <row r="19" spans="9:20" x14ac:dyDescent="0.3">
      <c r="I19" s="81"/>
      <c r="J19" s="82"/>
      <c r="K19" s="82"/>
      <c r="L19" s="82"/>
      <c r="M19" s="82"/>
      <c r="N19" s="82"/>
      <c r="O19" s="83"/>
      <c r="Q19" s="28" t="s">
        <v>88</v>
      </c>
      <c r="R19" s="72" t="s">
        <v>101</v>
      </c>
      <c r="S19" s="72"/>
      <c r="T19" s="72"/>
    </row>
    <row r="20" spans="9:20" x14ac:dyDescent="0.3">
      <c r="I20" s="81"/>
      <c r="J20" s="82"/>
      <c r="K20" s="82"/>
      <c r="L20" s="82"/>
      <c r="M20" s="82"/>
      <c r="N20" s="82"/>
      <c r="O20" s="83"/>
      <c r="Q20" s="28" t="s">
        <v>89</v>
      </c>
      <c r="R20" s="72" t="s">
        <v>102</v>
      </c>
      <c r="S20" s="72"/>
      <c r="T20" s="72"/>
    </row>
    <row r="21" spans="9:20" x14ac:dyDescent="0.3">
      <c r="I21" s="81"/>
      <c r="J21" s="82"/>
      <c r="K21" s="82"/>
      <c r="L21" s="82"/>
      <c r="M21" s="82"/>
      <c r="N21" s="82"/>
      <c r="O21" s="83"/>
      <c r="Q21" s="28" t="s">
        <v>90</v>
      </c>
      <c r="R21" s="72" t="s">
        <v>103</v>
      </c>
      <c r="S21" s="72"/>
      <c r="T21" s="72"/>
    </row>
    <row r="22" spans="9:20" x14ac:dyDescent="0.3">
      <c r="I22" s="81"/>
      <c r="J22" s="82"/>
      <c r="K22" s="82"/>
      <c r="L22" s="82"/>
      <c r="M22" s="82"/>
      <c r="N22" s="82"/>
      <c r="O22" s="83"/>
    </row>
    <row r="23" spans="9:20" x14ac:dyDescent="0.3">
      <c r="I23" s="81"/>
      <c r="J23" s="82"/>
      <c r="K23" s="82"/>
      <c r="L23" s="82"/>
      <c r="M23" s="82"/>
      <c r="N23" s="82"/>
      <c r="O23" s="83"/>
    </row>
    <row r="24" spans="9:20" x14ac:dyDescent="0.3">
      <c r="I24" s="84"/>
      <c r="J24" s="85"/>
      <c r="K24" s="85"/>
      <c r="L24" s="85"/>
      <c r="M24" s="85"/>
      <c r="N24" s="85"/>
      <c r="O24" s="86"/>
    </row>
  </sheetData>
  <mergeCells count="24"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20"/>
  <sheetViews>
    <sheetView topLeftCell="C1" zoomScale="68" workbookViewId="0">
      <selection activeCell="C19" sqref="C19:Z20"/>
    </sheetView>
  </sheetViews>
  <sheetFormatPr defaultColWidth="8.88671875" defaultRowHeight="14.4" x14ac:dyDescent="0.3"/>
  <cols>
    <col min="2" max="2" width="10.109375" customWidth="1"/>
    <col min="3" max="3" width="66.33203125" customWidth="1"/>
    <col min="4" max="4" width="50.5546875" bestFit="1" customWidth="1"/>
    <col min="5" max="5" width="39.5546875" customWidth="1"/>
    <col min="6" max="6" width="8.21875" customWidth="1"/>
    <col min="7" max="7" width="11.5546875" customWidth="1"/>
    <col min="8" max="8" width="11.21875" customWidth="1"/>
    <col min="9" max="9" width="10.77734375" customWidth="1"/>
    <col min="10" max="10" width="13" customWidth="1"/>
    <col min="11" max="11" width="14.44140625" customWidth="1"/>
    <col min="12" max="12" width="11.44140625" customWidth="1"/>
    <col min="13" max="13" width="15" customWidth="1"/>
    <col min="14" max="14" width="12.109375" customWidth="1"/>
    <col min="15" max="15" width="13.33203125" customWidth="1"/>
    <col min="16" max="16" width="8.77734375" customWidth="1"/>
    <col min="17" max="17" width="8.88671875" customWidth="1"/>
    <col min="21" max="21" width="9.109375" customWidth="1"/>
    <col min="22" max="22" width="4.109375" customWidth="1"/>
    <col min="23" max="24" width="4" customWidth="1"/>
    <col min="25" max="26" width="4.109375" customWidth="1"/>
    <col min="27" max="27" width="4.33203125" customWidth="1"/>
    <col min="28" max="28" width="5.21875" bestFit="1" customWidth="1"/>
  </cols>
  <sheetData>
    <row r="1" spans="2:28" x14ac:dyDescent="0.3">
      <c r="B1" s="8"/>
      <c r="D1" s="64" t="s">
        <v>75</v>
      </c>
      <c r="E1" s="65"/>
      <c r="F1" s="65"/>
      <c r="G1" s="66"/>
    </row>
    <row r="3" spans="2:28" x14ac:dyDescent="0.3">
      <c r="B3" s="98" t="s">
        <v>82</v>
      </c>
      <c r="C3" s="99"/>
      <c r="D3" s="99"/>
      <c r="E3" s="99"/>
      <c r="F3" s="100"/>
    </row>
    <row r="5" spans="2:28" x14ac:dyDescent="0.3">
      <c r="B5" s="7"/>
    </row>
    <row r="6" spans="2:28" ht="15.6" x14ac:dyDescent="0.3">
      <c r="B6" s="101" t="s">
        <v>27</v>
      </c>
      <c r="C6" s="95" t="s">
        <v>17</v>
      </c>
      <c r="D6" s="95" t="s">
        <v>18</v>
      </c>
      <c r="E6" s="101" t="s">
        <v>19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</row>
    <row r="7" spans="2:28" ht="15.6" x14ac:dyDescent="0.3">
      <c r="B7" s="101"/>
      <c r="C7" s="96"/>
      <c r="D7" s="96"/>
      <c r="E7" s="88" t="s">
        <v>35</v>
      </c>
      <c r="F7" s="89" t="s">
        <v>36</v>
      </c>
      <c r="G7" s="89"/>
      <c r="H7" s="89"/>
      <c r="I7" s="89"/>
      <c r="J7" s="89"/>
      <c r="K7" s="89"/>
      <c r="L7" s="89"/>
      <c r="M7" s="89"/>
      <c r="N7" s="89"/>
      <c r="O7" s="89"/>
      <c r="P7" s="90" t="s">
        <v>61</v>
      </c>
      <c r="Q7" s="90"/>
      <c r="R7" s="90"/>
      <c r="S7" s="90"/>
      <c r="T7" s="90"/>
      <c r="U7" s="90"/>
      <c r="V7" s="91" t="s">
        <v>20</v>
      </c>
      <c r="W7" s="91"/>
      <c r="X7" s="91"/>
      <c r="Y7" s="91"/>
      <c r="Z7" s="91"/>
      <c r="AA7" s="91"/>
      <c r="AB7" s="91"/>
    </row>
    <row r="8" spans="2:28" ht="43.8" customHeight="1" x14ac:dyDescent="0.3">
      <c r="B8" s="101"/>
      <c r="C8" s="96"/>
      <c r="D8" s="96"/>
      <c r="E8" s="88"/>
      <c r="F8" s="89" t="s">
        <v>83</v>
      </c>
      <c r="G8" s="89"/>
      <c r="H8" s="92" t="s">
        <v>84</v>
      </c>
      <c r="I8" s="93"/>
      <c r="J8" s="89" t="s">
        <v>85</v>
      </c>
      <c r="K8" s="89"/>
      <c r="L8" s="89" t="s">
        <v>86</v>
      </c>
      <c r="M8" s="89"/>
      <c r="N8" s="89" t="s">
        <v>87</v>
      </c>
      <c r="O8" s="89"/>
      <c r="P8" s="90" t="s">
        <v>51</v>
      </c>
      <c r="Q8" s="90" t="s">
        <v>52</v>
      </c>
      <c r="R8" s="90" t="s">
        <v>53</v>
      </c>
      <c r="S8" s="90" t="s">
        <v>88</v>
      </c>
      <c r="T8" s="90" t="s">
        <v>89</v>
      </c>
      <c r="U8" s="90" t="s">
        <v>90</v>
      </c>
      <c r="V8" s="91">
        <v>0</v>
      </c>
      <c r="W8" s="91">
        <v>1</v>
      </c>
      <c r="X8" s="91">
        <v>2</v>
      </c>
      <c r="Y8" s="91" t="s">
        <v>21</v>
      </c>
      <c r="Z8" s="91" t="s">
        <v>22</v>
      </c>
      <c r="AA8" s="91" t="s">
        <v>23</v>
      </c>
      <c r="AB8" s="91" t="s">
        <v>24</v>
      </c>
    </row>
    <row r="9" spans="2:28" ht="15.6" x14ac:dyDescent="0.3">
      <c r="B9" s="101"/>
      <c r="C9" s="97"/>
      <c r="D9" s="97"/>
      <c r="E9" s="88"/>
      <c r="F9" s="9" t="s">
        <v>25</v>
      </c>
      <c r="G9" s="9" t="s">
        <v>26</v>
      </c>
      <c r="H9" s="9" t="s">
        <v>25</v>
      </c>
      <c r="I9" s="9" t="s">
        <v>26</v>
      </c>
      <c r="J9" s="9" t="s">
        <v>25</v>
      </c>
      <c r="K9" s="9" t="s">
        <v>26</v>
      </c>
      <c r="L9" s="9" t="s">
        <v>25</v>
      </c>
      <c r="M9" s="9" t="s">
        <v>26</v>
      </c>
      <c r="N9" s="9" t="s">
        <v>25</v>
      </c>
      <c r="O9" s="9" t="s">
        <v>26</v>
      </c>
      <c r="P9" s="90"/>
      <c r="Q9" s="90"/>
      <c r="R9" s="90"/>
      <c r="S9" s="90"/>
      <c r="T9" s="90"/>
      <c r="U9" s="90"/>
      <c r="V9" s="91"/>
      <c r="W9" s="91"/>
      <c r="X9" s="91"/>
      <c r="Y9" s="91"/>
      <c r="Z9" s="91"/>
      <c r="AA9" s="91"/>
      <c r="AB9" s="91"/>
    </row>
    <row r="10" spans="2:28" ht="15.6" x14ac:dyDescent="0.3">
      <c r="B10" s="10" t="s">
        <v>49</v>
      </c>
      <c r="C10" s="10" t="s">
        <v>117</v>
      </c>
      <c r="D10" s="34" t="s">
        <v>112</v>
      </c>
      <c r="E10" s="11" t="s">
        <v>105</v>
      </c>
      <c r="F10" s="12" t="s">
        <v>106</v>
      </c>
      <c r="G10" s="12"/>
      <c r="H10" s="12"/>
      <c r="I10" s="12"/>
      <c r="J10" s="12"/>
      <c r="K10" s="12"/>
      <c r="L10" s="12"/>
      <c r="M10" s="12"/>
      <c r="N10" s="12"/>
      <c r="O10" s="12"/>
      <c r="P10" s="13" t="s">
        <v>106</v>
      </c>
      <c r="Q10" s="13"/>
      <c r="R10" s="13"/>
      <c r="S10" s="13"/>
      <c r="T10" s="13"/>
      <c r="U10" s="13"/>
      <c r="V10" s="14" t="s">
        <v>104</v>
      </c>
      <c r="W10" s="14" t="s">
        <v>104</v>
      </c>
      <c r="X10" s="14" t="s">
        <v>104</v>
      </c>
      <c r="Y10" s="14" t="s">
        <v>104</v>
      </c>
      <c r="Z10" s="14" t="s">
        <v>104</v>
      </c>
      <c r="AA10" s="14" t="s">
        <v>104</v>
      </c>
      <c r="AB10" s="14" t="s">
        <v>104</v>
      </c>
    </row>
    <row r="11" spans="2:28" ht="15.6" x14ac:dyDescent="0.3">
      <c r="B11" s="10" t="s">
        <v>50</v>
      </c>
      <c r="C11" s="10" t="s">
        <v>118</v>
      </c>
      <c r="D11" s="35" t="s">
        <v>113</v>
      </c>
      <c r="E11" s="11" t="s">
        <v>107</v>
      </c>
      <c r="F11" s="12"/>
      <c r="G11" s="12" t="s">
        <v>106</v>
      </c>
      <c r="H11" s="12"/>
      <c r="I11" s="12" t="s">
        <v>106</v>
      </c>
      <c r="J11" s="12"/>
      <c r="K11" s="12"/>
      <c r="L11" s="12"/>
      <c r="M11" s="12"/>
      <c r="N11" s="12"/>
      <c r="O11" s="12"/>
      <c r="P11" s="13"/>
      <c r="Q11" s="13" t="s">
        <v>106</v>
      </c>
      <c r="R11" s="13"/>
      <c r="S11" s="13"/>
      <c r="T11" s="13"/>
      <c r="U11" s="13"/>
      <c r="V11" s="14" t="s">
        <v>106</v>
      </c>
      <c r="W11" s="14" t="s">
        <v>104</v>
      </c>
      <c r="X11" s="14" t="s">
        <v>104</v>
      </c>
      <c r="Y11" s="14" t="s">
        <v>104</v>
      </c>
      <c r="Z11" s="14" t="s">
        <v>104</v>
      </c>
      <c r="AA11" s="14" t="s">
        <v>104</v>
      </c>
      <c r="AB11" s="14" t="s">
        <v>104</v>
      </c>
    </row>
    <row r="12" spans="2:28" ht="15.6" x14ac:dyDescent="0.3">
      <c r="B12" s="10" t="s">
        <v>93</v>
      </c>
      <c r="C12" s="10" t="s">
        <v>119</v>
      </c>
      <c r="D12" s="35" t="s">
        <v>113</v>
      </c>
      <c r="E12" s="11" t="s">
        <v>108</v>
      </c>
      <c r="F12" s="12"/>
      <c r="G12" s="12" t="s">
        <v>106</v>
      </c>
      <c r="H12" s="12" t="s">
        <v>106</v>
      </c>
      <c r="I12" s="33" t="s">
        <v>106</v>
      </c>
      <c r="J12" s="12"/>
      <c r="K12" s="12" t="s">
        <v>106</v>
      </c>
      <c r="L12" s="12"/>
      <c r="M12" s="12"/>
      <c r="N12" s="12"/>
      <c r="O12" s="12" t="s">
        <v>106</v>
      </c>
      <c r="P12" s="13"/>
      <c r="Q12" s="13"/>
      <c r="R12" s="13" t="s">
        <v>106</v>
      </c>
      <c r="S12" s="13"/>
      <c r="T12" s="13"/>
      <c r="U12" s="13"/>
      <c r="V12" s="14" t="s">
        <v>104</v>
      </c>
      <c r="W12" s="14" t="s">
        <v>104</v>
      </c>
      <c r="X12" s="14" t="s">
        <v>104</v>
      </c>
      <c r="Y12" s="14" t="s">
        <v>104</v>
      </c>
      <c r="Z12" s="14" t="s">
        <v>106</v>
      </c>
      <c r="AA12" s="14" t="s">
        <v>104</v>
      </c>
      <c r="AB12" s="14" t="s">
        <v>104</v>
      </c>
    </row>
    <row r="13" spans="2:28" s="37" customFormat="1" ht="15.6" x14ac:dyDescent="0.3">
      <c r="B13" s="38" t="s">
        <v>94</v>
      </c>
      <c r="C13" s="38" t="s">
        <v>104</v>
      </c>
      <c r="D13" s="39" t="s">
        <v>104</v>
      </c>
      <c r="E13" s="38" t="s">
        <v>111</v>
      </c>
      <c r="F13" s="40"/>
      <c r="G13" s="40" t="s">
        <v>106</v>
      </c>
      <c r="H13" s="40" t="s">
        <v>106</v>
      </c>
      <c r="I13" s="41" t="s">
        <v>106</v>
      </c>
      <c r="J13" s="40"/>
      <c r="K13" s="42" t="s">
        <v>106</v>
      </c>
      <c r="L13" s="40"/>
      <c r="M13" s="40"/>
      <c r="N13" s="40" t="s">
        <v>106</v>
      </c>
      <c r="O13" s="41" t="s">
        <v>106</v>
      </c>
      <c r="P13" s="40"/>
      <c r="Q13" s="40"/>
      <c r="R13" s="40"/>
      <c r="S13" s="40" t="s">
        <v>106</v>
      </c>
      <c r="T13" s="40"/>
      <c r="U13" s="40"/>
      <c r="V13" s="38" t="s">
        <v>104</v>
      </c>
      <c r="W13" s="38" t="s">
        <v>104</v>
      </c>
      <c r="X13" s="38" t="s">
        <v>104</v>
      </c>
      <c r="Y13" s="38" t="s">
        <v>104</v>
      </c>
      <c r="Z13" s="38" t="s">
        <v>104</v>
      </c>
      <c r="AA13" s="38" t="s">
        <v>104</v>
      </c>
      <c r="AB13" s="38" t="s">
        <v>104</v>
      </c>
    </row>
    <row r="14" spans="2:28" ht="15.6" x14ac:dyDescent="0.3">
      <c r="B14" s="38" t="s">
        <v>95</v>
      </c>
      <c r="C14" s="38" t="s">
        <v>120</v>
      </c>
      <c r="D14" s="43" t="s">
        <v>113</v>
      </c>
      <c r="E14" s="38" t="s">
        <v>109</v>
      </c>
      <c r="F14" s="40"/>
      <c r="G14" s="40" t="s">
        <v>106</v>
      </c>
      <c r="H14" s="40" t="s">
        <v>106</v>
      </c>
      <c r="I14" s="41" t="s">
        <v>106</v>
      </c>
      <c r="J14" s="40" t="s">
        <v>106</v>
      </c>
      <c r="K14" s="41" t="s">
        <v>106</v>
      </c>
      <c r="L14" s="40"/>
      <c r="M14" s="40" t="s">
        <v>106</v>
      </c>
      <c r="N14" s="40"/>
      <c r="O14" s="40" t="s">
        <v>106</v>
      </c>
      <c r="P14" s="40"/>
      <c r="Q14" s="40"/>
      <c r="R14" s="40"/>
      <c r="S14" s="40"/>
      <c r="T14" s="40" t="s">
        <v>106</v>
      </c>
      <c r="U14" s="40"/>
      <c r="V14" s="38" t="s">
        <v>104</v>
      </c>
      <c r="W14" s="38" t="s">
        <v>104</v>
      </c>
      <c r="X14" s="38" t="s">
        <v>104</v>
      </c>
      <c r="Y14" s="38" t="s">
        <v>104</v>
      </c>
      <c r="Z14" s="38" t="s">
        <v>104</v>
      </c>
      <c r="AA14" s="38" t="s">
        <v>104</v>
      </c>
      <c r="AB14" s="38" t="s">
        <v>104</v>
      </c>
    </row>
    <row r="15" spans="2:28" ht="15.6" x14ac:dyDescent="0.3">
      <c r="B15" s="10" t="s">
        <v>96</v>
      </c>
      <c r="C15" s="10" t="s">
        <v>121</v>
      </c>
      <c r="D15" s="35" t="s">
        <v>116</v>
      </c>
      <c r="E15" s="11" t="s">
        <v>110</v>
      </c>
      <c r="F15" s="12"/>
      <c r="G15" s="12" t="s">
        <v>106</v>
      </c>
      <c r="H15" s="12" t="s">
        <v>106</v>
      </c>
      <c r="I15" s="33" t="s">
        <v>106</v>
      </c>
      <c r="J15" s="12" t="s">
        <v>106</v>
      </c>
      <c r="K15" s="33" t="s">
        <v>106</v>
      </c>
      <c r="L15" s="12" t="s">
        <v>106</v>
      </c>
      <c r="M15" s="12"/>
      <c r="N15" s="36" t="s">
        <v>106</v>
      </c>
      <c r="O15" s="33" t="s">
        <v>106</v>
      </c>
      <c r="P15" s="13"/>
      <c r="Q15" s="13"/>
      <c r="R15" s="13"/>
      <c r="S15" s="13"/>
      <c r="T15" s="13"/>
      <c r="U15" s="13" t="s">
        <v>106</v>
      </c>
      <c r="V15" s="14" t="s">
        <v>104</v>
      </c>
      <c r="W15" s="14" t="s">
        <v>104</v>
      </c>
      <c r="X15" s="14" t="s">
        <v>104</v>
      </c>
      <c r="Y15" s="14" t="s">
        <v>104</v>
      </c>
      <c r="Z15" s="14" t="s">
        <v>106</v>
      </c>
      <c r="AA15" s="14" t="s">
        <v>104</v>
      </c>
      <c r="AB15" s="14" t="s">
        <v>104</v>
      </c>
    </row>
    <row r="16" spans="2:28" ht="15.6" x14ac:dyDescent="0.3">
      <c r="B16" s="15"/>
    </row>
    <row r="17" spans="3:26" x14ac:dyDescent="0.3">
      <c r="C17" s="94" t="s">
        <v>114</v>
      </c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3:26" x14ac:dyDescent="0.3"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3:26" ht="15" customHeight="1" x14ac:dyDescent="0.3">
      <c r="C19" s="94" t="s">
        <v>122</v>
      </c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3:26" x14ac:dyDescent="0.3"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</sheetData>
  <mergeCells count="30">
    <mergeCell ref="C19:Z20"/>
    <mergeCell ref="C17:Z18"/>
    <mergeCell ref="C6:C9"/>
    <mergeCell ref="D6:D9"/>
    <mergeCell ref="D1:G1"/>
    <mergeCell ref="B3:F3"/>
    <mergeCell ref="B6:B9"/>
    <mergeCell ref="E6:AB6"/>
    <mergeCell ref="Z8:Z9"/>
    <mergeCell ref="AA8:AA9"/>
    <mergeCell ref="U8:U9"/>
    <mergeCell ref="F8:G8"/>
    <mergeCell ref="W8:W9"/>
    <mergeCell ref="X8:X9"/>
    <mergeCell ref="Y8:Y9"/>
    <mergeCell ref="T8:T9"/>
    <mergeCell ref="V7:AB7"/>
    <mergeCell ref="E7:E9"/>
    <mergeCell ref="F7:O7"/>
    <mergeCell ref="P7:U7"/>
    <mergeCell ref="AB8:AB9"/>
    <mergeCell ref="H8:I8"/>
    <mergeCell ref="J8:K8"/>
    <mergeCell ref="L8:M8"/>
    <mergeCell ref="V8:V9"/>
    <mergeCell ref="P8:P9"/>
    <mergeCell ref="Q8:Q9"/>
    <mergeCell ref="R8:R9"/>
    <mergeCell ref="S8:S9"/>
    <mergeCell ref="N8:O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7"/>
  <sheetViews>
    <sheetView zoomScale="88" workbookViewId="0">
      <selection activeCell="K12" sqref="K12"/>
    </sheetView>
  </sheetViews>
  <sheetFormatPr defaultColWidth="8.88671875" defaultRowHeight="14.4" x14ac:dyDescent="0.3"/>
  <cols>
    <col min="2" max="2" width="6.33203125" customWidth="1"/>
    <col min="3" max="3" width="7.21875" customWidth="1"/>
    <col min="4" max="4" width="8.21875" customWidth="1"/>
    <col min="5" max="5" width="22.21875" customWidth="1"/>
    <col min="6" max="6" width="24.44140625" customWidth="1"/>
    <col min="7" max="7" width="17.5546875" customWidth="1"/>
    <col min="8" max="8" width="21.6640625" customWidth="1"/>
    <col min="9" max="9" width="8.44140625" customWidth="1"/>
    <col min="10" max="10" width="6.77734375" customWidth="1"/>
    <col min="11" max="11" width="44.44140625" customWidth="1"/>
    <col min="12" max="12" width="44.33203125" customWidth="1"/>
    <col min="13" max="13" width="11.88671875" customWidth="1"/>
    <col min="14" max="14" width="10.77734375" customWidth="1"/>
    <col min="15" max="15" width="12.21875" customWidth="1"/>
  </cols>
  <sheetData>
    <row r="1" spans="2:14" x14ac:dyDescent="0.3">
      <c r="B1" s="8"/>
      <c r="D1" s="64" t="s">
        <v>75</v>
      </c>
      <c r="E1" s="65"/>
      <c r="F1" s="65"/>
      <c r="G1" s="66"/>
    </row>
    <row r="3" spans="2:14" x14ac:dyDescent="0.3">
      <c r="B3" s="67" t="s">
        <v>29</v>
      </c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2:14" x14ac:dyDescent="0.3">
      <c r="B4" s="47" t="s">
        <v>7</v>
      </c>
      <c r="C4" s="47" t="s">
        <v>9</v>
      </c>
      <c r="D4" s="68" t="s">
        <v>28</v>
      </c>
      <c r="E4" s="57" t="s">
        <v>2</v>
      </c>
      <c r="F4" s="58"/>
      <c r="G4" s="58"/>
      <c r="H4" s="58"/>
      <c r="I4" s="58"/>
      <c r="J4" s="59"/>
      <c r="K4" s="68" t="s">
        <v>3</v>
      </c>
      <c r="L4" s="68"/>
    </row>
    <row r="5" spans="2:14" x14ac:dyDescent="0.3">
      <c r="B5" s="47"/>
      <c r="C5" s="47"/>
      <c r="D5" s="68"/>
      <c r="E5" s="60"/>
      <c r="F5" s="61"/>
      <c r="G5" s="61"/>
      <c r="H5" s="61"/>
      <c r="I5" s="61"/>
      <c r="J5" s="62"/>
      <c r="K5" s="16" t="s">
        <v>4</v>
      </c>
      <c r="L5" s="16" t="s">
        <v>5</v>
      </c>
    </row>
    <row r="6" spans="2:14" x14ac:dyDescent="0.3">
      <c r="B6" s="17">
        <v>10</v>
      </c>
      <c r="C6" s="69" t="s">
        <v>44</v>
      </c>
      <c r="D6" s="16" t="s">
        <v>49</v>
      </c>
      <c r="E6" s="49" t="s">
        <v>117</v>
      </c>
      <c r="F6" s="50"/>
      <c r="G6" s="50"/>
      <c r="H6" s="50"/>
      <c r="I6" s="50"/>
      <c r="J6" s="51"/>
      <c r="K6" s="34" t="s">
        <v>112</v>
      </c>
      <c r="L6" s="34" t="s">
        <v>112</v>
      </c>
    </row>
    <row r="7" spans="2:14" x14ac:dyDescent="0.3">
      <c r="B7" s="16">
        <v>11</v>
      </c>
      <c r="C7" s="69"/>
      <c r="D7" s="16" t="s">
        <v>50</v>
      </c>
      <c r="E7" s="49" t="s">
        <v>118</v>
      </c>
      <c r="F7" s="50"/>
      <c r="G7" s="50"/>
      <c r="H7" s="50"/>
      <c r="I7" s="50"/>
      <c r="J7" s="51"/>
      <c r="K7" s="35" t="s">
        <v>113</v>
      </c>
      <c r="L7" s="35" t="s">
        <v>113</v>
      </c>
    </row>
    <row r="8" spans="2:14" x14ac:dyDescent="0.3">
      <c r="B8" s="16">
        <v>12</v>
      </c>
      <c r="C8" s="69"/>
      <c r="D8" s="16" t="s">
        <v>93</v>
      </c>
      <c r="E8" s="49" t="s">
        <v>119</v>
      </c>
      <c r="F8" s="50"/>
      <c r="G8" s="50"/>
      <c r="H8" s="50"/>
      <c r="I8" s="50"/>
      <c r="J8" s="51"/>
      <c r="K8" s="35" t="s">
        <v>113</v>
      </c>
      <c r="L8" s="35" t="s">
        <v>113</v>
      </c>
    </row>
    <row r="9" spans="2:14" x14ac:dyDescent="0.3">
      <c r="B9" s="44">
        <v>13</v>
      </c>
      <c r="C9" s="69"/>
      <c r="D9" s="44" t="s">
        <v>94</v>
      </c>
      <c r="E9" s="52" t="s">
        <v>104</v>
      </c>
      <c r="F9" s="53"/>
      <c r="G9" s="53"/>
      <c r="H9" s="53"/>
      <c r="I9" s="53"/>
      <c r="J9" s="54"/>
      <c r="K9" s="43" t="s">
        <v>115</v>
      </c>
      <c r="L9" s="43" t="s">
        <v>115</v>
      </c>
    </row>
    <row r="10" spans="2:14" x14ac:dyDescent="0.3">
      <c r="B10" s="46">
        <v>14</v>
      </c>
      <c r="C10" s="69"/>
      <c r="D10" s="44" t="s">
        <v>95</v>
      </c>
      <c r="E10" s="52" t="s">
        <v>120</v>
      </c>
      <c r="F10" s="53"/>
      <c r="G10" s="53"/>
      <c r="H10" s="53"/>
      <c r="I10" s="53"/>
      <c r="J10" s="54"/>
      <c r="K10" s="43" t="s">
        <v>113</v>
      </c>
      <c r="L10" s="43" t="s">
        <v>113</v>
      </c>
    </row>
    <row r="11" spans="2:14" x14ac:dyDescent="0.3">
      <c r="B11" s="16">
        <v>15</v>
      </c>
      <c r="C11" s="70"/>
      <c r="D11" s="16" t="s">
        <v>96</v>
      </c>
      <c r="E11" s="49" t="s">
        <v>121</v>
      </c>
      <c r="F11" s="50"/>
      <c r="G11" s="50"/>
      <c r="H11" s="50"/>
      <c r="I11" s="50"/>
      <c r="J11" s="51"/>
      <c r="K11" s="35" t="s">
        <v>116</v>
      </c>
      <c r="L11" s="35" t="s">
        <v>116</v>
      </c>
    </row>
    <row r="12" spans="2:14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2:14" x14ac:dyDescent="0.3">
      <c r="B13" s="2" t="s">
        <v>10</v>
      </c>
      <c r="K13" s="18"/>
    </row>
    <row r="14" spans="2:14" x14ac:dyDescent="0.3">
      <c r="B14" s="48" t="s">
        <v>63</v>
      </c>
      <c r="C14" s="48"/>
      <c r="D14" s="48"/>
      <c r="E14" s="48"/>
      <c r="F14" s="71" t="s">
        <v>64</v>
      </c>
      <c r="G14" s="71"/>
      <c r="H14" s="48" t="s">
        <v>65</v>
      </c>
      <c r="I14" s="48"/>
      <c r="J14" s="48"/>
      <c r="K14" s="48"/>
      <c r="L14" s="48"/>
      <c r="M14" s="63" t="s">
        <v>66</v>
      </c>
      <c r="N14" s="63"/>
    </row>
    <row r="15" spans="2:14" ht="87.6" customHeight="1" x14ac:dyDescent="0.3">
      <c r="B15" s="47" t="s">
        <v>40</v>
      </c>
      <c r="C15" s="47" t="s">
        <v>41</v>
      </c>
      <c r="D15" s="47" t="s">
        <v>42</v>
      </c>
      <c r="E15" s="55" t="s">
        <v>67</v>
      </c>
      <c r="F15" s="47" t="s">
        <v>68</v>
      </c>
      <c r="G15" s="47" t="s">
        <v>69</v>
      </c>
      <c r="H15" s="56" t="s">
        <v>70</v>
      </c>
      <c r="I15" s="47" t="s">
        <v>40</v>
      </c>
      <c r="J15" s="47" t="s">
        <v>41</v>
      </c>
      <c r="K15" s="47" t="s">
        <v>43</v>
      </c>
      <c r="L15" s="55" t="s">
        <v>71</v>
      </c>
      <c r="M15" s="47" t="s">
        <v>72</v>
      </c>
      <c r="N15" s="47" t="s">
        <v>73</v>
      </c>
    </row>
    <row r="16" spans="2:14" x14ac:dyDescent="0.3">
      <c r="B16" s="47"/>
      <c r="C16" s="47"/>
      <c r="D16" s="47"/>
      <c r="E16" s="55"/>
      <c r="F16" s="47"/>
      <c r="G16" s="47"/>
      <c r="H16" s="56"/>
      <c r="I16" s="47"/>
      <c r="J16" s="47"/>
      <c r="K16" s="47"/>
      <c r="L16" s="55"/>
      <c r="M16" s="47"/>
      <c r="N16" s="47"/>
    </row>
    <row r="17" spans="2:14" x14ac:dyDescent="0.3">
      <c r="B17" s="21">
        <f>SUM(C17:D17)</f>
        <v>4</v>
      </c>
      <c r="C17" s="19">
        <v>3</v>
      </c>
      <c r="D17" s="19">
        <v>1</v>
      </c>
      <c r="E17" s="45">
        <v>1</v>
      </c>
      <c r="F17" s="20">
        <v>2</v>
      </c>
      <c r="G17" s="6" t="s">
        <v>99</v>
      </c>
      <c r="H17" s="5" t="s">
        <v>99</v>
      </c>
      <c r="I17" s="21">
        <f>SUM(J17:K17)</f>
        <v>1</v>
      </c>
      <c r="J17" s="19">
        <v>1</v>
      </c>
      <c r="K17" s="22">
        <v>0</v>
      </c>
      <c r="L17" s="102">
        <v>1</v>
      </c>
      <c r="M17" s="4" t="s">
        <v>99</v>
      </c>
      <c r="N17" s="23">
        <f>C17</f>
        <v>3</v>
      </c>
    </row>
  </sheetData>
  <mergeCells count="31">
    <mergeCell ref="E4:J5"/>
    <mergeCell ref="M14:N14"/>
    <mergeCell ref="D1:G1"/>
    <mergeCell ref="B3:L3"/>
    <mergeCell ref="B4:B5"/>
    <mergeCell ref="K4:L4"/>
    <mergeCell ref="C4:C5"/>
    <mergeCell ref="D4:D5"/>
    <mergeCell ref="B14:E14"/>
    <mergeCell ref="E6:J6"/>
    <mergeCell ref="C6:C11"/>
    <mergeCell ref="F14:G14"/>
    <mergeCell ref="N15:N16"/>
    <mergeCell ref="H15:H16"/>
    <mergeCell ref="I15:I16"/>
    <mergeCell ref="K15:K16"/>
    <mergeCell ref="J15:J16"/>
    <mergeCell ref="L15:L16"/>
    <mergeCell ref="M15:M16"/>
    <mergeCell ref="B15:B16"/>
    <mergeCell ref="C15:C16"/>
    <mergeCell ref="D15:D16"/>
    <mergeCell ref="E15:E16"/>
    <mergeCell ref="F15:F16"/>
    <mergeCell ref="G15:G16"/>
    <mergeCell ref="H14:L14"/>
    <mergeCell ref="E8:J8"/>
    <mergeCell ref="E7:J7"/>
    <mergeCell ref="E10:J10"/>
    <mergeCell ref="E11:J11"/>
    <mergeCell ref="E9:J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621349-07bb-4f69-bb8c-ca817af798a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DCAE733D3F841B4052C53207B64B5" ma:contentTypeVersion="14" ma:contentTypeDescription="Create a new document." ma:contentTypeScope="" ma:versionID="489e163781370fe0c956ed92657cc341">
  <xsd:schema xmlns:xsd="http://www.w3.org/2001/XMLSchema" xmlns:xs="http://www.w3.org/2001/XMLSchema" xmlns:p="http://schemas.microsoft.com/office/2006/metadata/properties" xmlns:ns3="3c621349-07bb-4f69-bb8c-ca817af798a6" xmlns:ns4="cb3df994-17ae-497d-bc9c-e030f194ba7e" targetNamespace="http://schemas.microsoft.com/office/2006/metadata/properties" ma:root="true" ma:fieldsID="73274b8091400cdd266120292d79021e" ns3:_="" ns4:_="">
    <xsd:import namespace="3c621349-07bb-4f69-bb8c-ca817af798a6"/>
    <xsd:import namespace="cb3df994-17ae-497d-bc9c-e030f194ba7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621349-07bb-4f69-bb8c-ca817af798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df994-17ae-497d-bc9c-e030f194ba7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3c621349-07bb-4f69-bb8c-ca817af798a6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cb3df994-17ae-497d-bc9c-e030f194ba7e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C2E242C-483B-4195-9C9D-9C2C6B5589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621349-07bb-4f69-bb8c-ca817af798a6"/>
    <ds:schemaRef ds:uri="cb3df994-17ae-497d-bc9c-e030f194ba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2026-04-14T14:41:34Z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0x010100D80DCAE733D3F841B4052C53207B64B5</vt:lpwstr>
  </property>
</Properties>
</file>