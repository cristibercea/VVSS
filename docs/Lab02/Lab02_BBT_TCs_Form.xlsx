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407" documentId="13_ncr:1_{6C57E064-75AC-4AFD-A9E4-A6486224DC73}" xr6:coauthVersionLast="47" xr6:coauthVersionMax="47" xr10:uidLastSave="{53D80155-46BD-4B36-B460-9DC314B525DF}"/>
  <bookViews>
    <workbookView xWindow="-110" yWindow="-110" windowWidth="19420" windowHeight="11500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<sst xmlns="http://schemas.openxmlformats.org/spreadsheetml/2006/main" count="250" uniqueCount="148">
  <si>
    <t>Informaţiile vor fi preluate din fişiere text.</t>
  </si>
  <si>
    <t>Condition</t>
  </si>
  <si>
    <t>Valid EC</t>
  </si>
  <si>
    <t>Non-valid EC</t>
  </si>
  <si>
    <t>No. EC</t>
  </si>
  <si>
    <t>EC</t>
  </si>
  <si>
    <t>input data</t>
  </si>
  <si>
    <t>output data</t>
  </si>
  <si>
    <t>-</t>
  </si>
  <si>
    <t>?</t>
  </si>
  <si>
    <t>EC Identification</t>
  </si>
  <si>
    <t>expected</t>
  </si>
  <si>
    <t>actual result</t>
  </si>
  <si>
    <t>""</t>
  </si>
  <si>
    <t>BVA Condition</t>
  </si>
  <si>
    <t>Crt. No.</t>
  </si>
  <si>
    <t>No. TCxx_EC</t>
  </si>
  <si>
    <t>No TCxx_BVA</t>
  </si>
  <si>
    <t>BVA condition</t>
  </si>
  <si>
    <t>Correlated TC</t>
  </si>
  <si>
    <t>Executable</t>
  </si>
  <si>
    <t>no</t>
  </si>
  <si>
    <t xml:space="preserve"> </t>
  </si>
  <si>
    <t>BVA Condition-based TCs</t>
  </si>
  <si>
    <t>EC-based TCs</t>
  </si>
  <si>
    <t>BVA TCs</t>
  </si>
  <si>
    <t>Final        TC No.</t>
  </si>
  <si>
    <t>Req. ID</t>
  </si>
  <si>
    <t>TC3_BVA</t>
  </si>
  <si>
    <t>TC4_BVA</t>
  </si>
  <si>
    <t>TC5_BVA</t>
  </si>
  <si>
    <t>expected result</t>
  </si>
  <si>
    <t>Statistics</t>
  </si>
  <si>
    <t>Re-tested</t>
  </si>
  <si>
    <t>Testing</t>
  </si>
  <si>
    <t>Re-testing</t>
  </si>
  <si>
    <t>Debugging</t>
  </si>
  <si>
    <t>Proiectaţi şi implementaţi o aplicaţie Java pentru rezolvarea problemei propuse. Se va evidenţia o arhitectură stratificată.</t>
  </si>
  <si>
    <t>categorie</t>
  </si>
  <si>
    <t>"M"</t>
  </si>
  <si>
    <t>Regression Testing</t>
  </si>
  <si>
    <t>[Unit BBT]</t>
  </si>
  <si>
    <t>#Bugs</t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</si>
  <si>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</si>
  <si>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r>
      <t xml:space="preserve">#TCs </t>
    </r>
    <r>
      <rPr>
        <b/>
        <sz val="11"/>
        <color indexed="17"/>
        <rFont val="Calibri"/>
        <family val="2"/>
      </rPr>
      <t>passed</t>
    </r>
  </si>
  <si>
    <t>#TCs to be run</t>
  </si>
  <si>
    <t>Observații</t>
  </si>
  <si>
    <t>Lab02. Black-box Testing. ECP, BVA</t>
  </si>
  <si>
    <t>ECP TCs</t>
  </si>
  <si>
    <t>TC1_ECP</t>
  </si>
  <si>
    <t>TC3_ECP</t>
  </si>
  <si>
    <t>BBT TCs</t>
  </si>
  <si>
    <t>3. Se aleg doi parametri ai metodei testate şi se definesc condiţii asupra acestora. Condiţiile (constrângerile) rezultă din specificaţii.</t>
  </si>
  <si>
    <t>F01</t>
  </si>
  <si>
    <t>#Fixed Bugs</t>
  </si>
  <si>
    <t xml:space="preserve">1. La proiectarea TCs se consideră o metodă care poate avea următoarea semnătură: </t>
  </si>
  <si>
    <t>Echipa</t>
  </si>
  <si>
    <t>Grupa</t>
  </si>
  <si>
    <t>Student 1:</t>
  </si>
  <si>
    <t>Student 2:</t>
  </si>
  <si>
    <t>Student 3:</t>
  </si>
  <si>
    <t>Numele si prenumele</t>
  </si>
  <si>
    <t>4. Pentru aceşti parametri se aplică ECP şi BVA. La proiectarea testelor se consideră că parametrii de intrare neinvestigaţi aici au valori valide, adică folosim dummy objects.</t>
  </si>
  <si>
    <t>VVSS, Info Romana, 2025-2026</t>
  </si>
  <si>
    <t>Agoston Nikolett</t>
  </si>
  <si>
    <t>Bercea Cristian</t>
  </si>
  <si>
    <t>1. Proiectarea unui sistem de gestiune a unui magazin de băuturi</t>
  </si>
  <si>
    <t>Programul va permite următoarele operaţii: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</si>
  <si>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produs nou (care are câmpuril: id, nume, pret, categorie, tip);</t>
    </r>
  </si>
  <si>
    <t>addProduct(Product p): void</t>
  </si>
  <si>
    <t>2. Metoda este definită la nivelul service</t>
  </si>
  <si>
    <r>
      <t>Parametrii nume</t>
    </r>
    <r>
      <rPr>
        <b/>
        <sz val="11"/>
        <color indexed="30"/>
        <rFont val="Calibri"/>
        <family val="2"/>
      </rPr>
      <t xml:space="preserve"> şi pret; Condiţii pentru aceşti parametri de intrare: nume diferit de NIL, format doar din litere și caracterele spațiu și cratimă; prețul este un număr real, mai mare ca 0 și mai mic ca 100</t>
    </r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</si>
  <si>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produs nou (id, nume, preț, categorie, tip);</t>
    </r>
  </si>
  <si>
    <t>id</t>
  </si>
  <si>
    <t>id &lt;= 0</t>
  </si>
  <si>
    <t>id not a number</t>
  </si>
  <si>
    <t>nume is String</t>
  </si>
  <si>
    <t>nume not String</t>
  </si>
  <si>
    <t>preț</t>
  </si>
  <si>
    <t>nume is String &amp; not NIL</t>
  </si>
  <si>
    <t>nume is NIL</t>
  </si>
  <si>
    <t>nume is not NIL</t>
  </si>
  <si>
    <t>0 &lt; preț &lt; 100</t>
  </si>
  <si>
    <t xml:space="preserve">0 &lt; preț &lt; 100 </t>
  </si>
  <si>
    <t>preț &lt;= 0</t>
  </si>
  <si>
    <t>preț &gt;= 100</t>
  </si>
  <si>
    <t>preț not a number</t>
  </si>
  <si>
    <t>0 &lt; id</t>
  </si>
  <si>
    <t>id &gt; 0</t>
  </si>
  <si>
    <t>T = {"BASIC", "DAIRY", "LACTOSE_FREE", "WATER_BASED", "PLANT_BASED", "POWDER", "ALL"}</t>
  </si>
  <si>
    <t>categorie is in C</t>
  </si>
  <si>
    <t>categorie = "CLASIC_COFFEE"</t>
  </si>
  <si>
    <t>C = {"CLASIC_COFFEE", "MILK_COFFEE", "SPECIAL_COFFEE", "ICED_COFFEE", "TEA", "BUBBLE_TEA", "JUICE", "SMOOTHIE", "ALL"}</t>
  </si>
  <si>
    <t>categorie = "MILK_COFFEE"</t>
  </si>
  <si>
    <t>categorie = "SPECIAL_COFFEE"</t>
  </si>
  <si>
    <t>categorie = "ICED_COFFEE"</t>
  </si>
  <si>
    <t>categorie = "TEA"</t>
  </si>
  <si>
    <t>categorie = "BUBBLE_TEA"</t>
  </si>
  <si>
    <t>categorie = "JUICE"</t>
  </si>
  <si>
    <t>categorie = "SMOOTHIE"</t>
  </si>
  <si>
    <t>categorie = "ALL"</t>
  </si>
  <si>
    <t>categorie = "kasbch" || categorie = "^#*(){}[]?!`~$&amp;"</t>
  </si>
  <si>
    <t>tip in T</t>
  </si>
  <si>
    <t>tip = "BASIC"</t>
  </si>
  <si>
    <t>tip = "DIARY"</t>
  </si>
  <si>
    <t>tip = "LACTOSE_FREE"</t>
  </si>
  <si>
    <t>tip = "WATER_BASED"</t>
  </si>
  <si>
    <t>tip = "PLANT_BASED"</t>
  </si>
  <si>
    <t>tip = "POWDER"</t>
  </si>
  <si>
    <t>tip = "ALL"</t>
  </si>
  <si>
    <t>tip</t>
  </si>
  <si>
    <t>tip = "kasbch" || tip = "^#*(){}[]?!`~$&amp;"</t>
  </si>
  <si>
    <t>nume</t>
  </si>
  <si>
    <t>ALL</t>
  </si>
  <si>
    <t>"Latte"</t>
  </si>
  <si>
    <t>"Matcha"</t>
  </si>
  <si>
    <t>"Flat White"</t>
  </si>
  <si>
    <t>product successfully added</t>
  </si>
  <si>
    <t>error message</t>
  </si>
  <si>
    <t>nume is String, length in [1,255]</t>
  </si>
  <si>
    <t>01. nume = "", length = 0</t>
  </si>
  <si>
    <t>02. nume = ?, length = -1</t>
  </si>
  <si>
    <t>03. nume = "M", length = 1</t>
  </si>
  <si>
    <t>04. nume = "A…123", length = 255</t>
  </si>
  <si>
    <t>05. nume = "A…12", length = 254</t>
  </si>
  <si>
    <t>06. nume = "A…1234", length = 256</t>
  </si>
  <si>
    <t>07. id = -1</t>
  </si>
  <si>
    <t>08. id = 0</t>
  </si>
  <si>
    <t>09. id = 1</t>
  </si>
  <si>
    <t>pret is in [1,99]</t>
  </si>
  <si>
    <t>10. pret = 0</t>
  </si>
  <si>
    <t>11. pret = 1</t>
  </si>
  <si>
    <t>12. pret = 2</t>
  </si>
  <si>
    <t>13. pret = 98</t>
  </si>
  <si>
    <t>14. pret = 99</t>
  </si>
  <si>
    <t>15. pret = 100</t>
  </si>
  <si>
    <t>pret</t>
  </si>
  <si>
    <t>yes</t>
  </si>
  <si>
    <t>product added</t>
  </si>
  <si>
    <t>"Adf"</t>
  </si>
  <si>
    <t>Compiling fail</t>
  </si>
  <si>
    <t>"A…1234"</t>
  </si>
  <si>
    <t>TC2_ECP</t>
  </si>
  <si>
    <t>TC4_ECP</t>
  </si>
  <si>
    <t>TC1_BVA</t>
  </si>
  <si>
    <t>NIL</t>
  </si>
  <si>
    <t>ProductValidator is never used</t>
  </si>
  <si>
    <t>Added Validator to FileAbstractRepository and did validation in save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</si>
</sst>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7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8" fillId="0" borderId="1" xfId="0" applyFont="1" applyBorder="1"/>
    <xf numFmtId="0" fontId="1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4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0" xfId="0" applyFont="1"/>
    <xf numFmtId="0" fontId="7" fillId="0" borderId="8" xfId="0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20" fillId="0" borderId="0" xfId="0" applyFont="1"/>
    <xf numFmtId="0" fontId="0" fillId="0" borderId="0" xfId="0" applyAlignment="1">
      <alignment vertical="center"/>
    </xf>
    <xf numFmtId="0" fontId="15" fillId="0" borderId="0" xfId="0" applyFont="1"/>
    <xf numFmtId="0" fontId="21" fillId="0" borderId="0" xfId="0" applyFont="1"/>
    <xf numFmtId="0" fontId="16" fillId="0" borderId="12" xfId="0" applyFont="1" applyBorder="1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16" fillId="0" borderId="13" xfId="0" applyFont="1" applyBorder="1" applyAlignment="1">
      <alignment horizontal="center" vertical="center"/>
    </xf>
    <xf numFmtId="0" fontId="13" fillId="0" borderId="13" xfId="0" applyFont="1" applyBorder="1"/>
    <xf numFmtId="0" fontId="13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5" fillId="0" borderId="0" xfId="0" applyFont="1" applyAlignment="1">
      <alignment horizontal="center" vertical="center"/>
    </xf>
    <xf numFmtId="0" fontId="8" fillId="0" borderId="0" xfId="0" applyFont="1"/>
    <xf numFmtId="0" fontId="14" fillId="0" borderId="1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13" fillId="0" borderId="33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3" borderId="19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7" fillId="5" borderId="10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0" fillId="0" borderId="7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19" fillId="2" borderId="11" xfId="0" applyFont="1" applyFill="1" applyBorder="1" applyAlignment="1">
      <alignment horizontal="center" vertical="center" wrapText="1"/>
    </xf>
    <xf numFmtId="0" fontId="19" fillId="2" borderId="22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tabSelected="1" workbookViewId="0">
      <selection activeCell="I18" sqref="I18"/>
    </sheetView>
  </sheetViews>
  <sheetFormatPr defaultRowHeight="14.5" x14ac:dyDescent="0.35"/>
  <cols>
    <col min="4" max="4" width="22.6328125" customWidth="1"/>
    <col min="9" max="9" width="32.90625" customWidth="1"/>
    <col min="10" max="10" width="10.6328125" customWidth="1"/>
    <col min="12" max="12" width="12.1796875" customWidth="1"/>
    <col min="14" max="14" width="20" customWidth="1"/>
  </cols>
  <sheetData>
    <row r="1" spans="2:10" x14ac:dyDescent="0.35">
      <c r="C1" s="64" t="s">
        <v>63</v>
      </c>
      <c r="D1" s="65"/>
      <c r="E1" s="65"/>
      <c r="F1" s="66"/>
      <c r="H1" s="34" t="s">
        <v>47</v>
      </c>
      <c r="I1" s="34"/>
      <c r="J1" s="34"/>
    </row>
    <row r="2" spans="2:10" x14ac:dyDescent="0.35">
      <c r="H2" s="99" t="s">
        <v>56</v>
      </c>
      <c r="I2" s="99"/>
      <c r="J2" s="99"/>
    </row>
    <row r="3" spans="2:10" x14ac:dyDescent="0.35">
      <c r="H3" s="2"/>
      <c r="I3" s="2" t="s">
        <v>61</v>
      </c>
      <c r="J3" s="2" t="s">
        <v>57</v>
      </c>
    </row>
    <row r="4" spans="2:10" x14ac:dyDescent="0.35">
      <c r="H4" s="2" t="s">
        <v>58</v>
      </c>
      <c r="I4" s="2" t="s">
        <v>64</v>
      </c>
      <c r="J4" s="2">
        <v>231</v>
      </c>
    </row>
    <row r="5" spans="2:10" x14ac:dyDescent="0.35">
      <c r="H5" s="2" t="s">
        <v>59</v>
      </c>
      <c r="I5" s="2" t="s">
        <v>65</v>
      </c>
      <c r="J5" s="2">
        <v>231</v>
      </c>
    </row>
    <row r="6" spans="2:10" x14ac:dyDescent="0.35">
      <c r="B6" s="27"/>
      <c r="H6" s="2" t="s">
        <v>60</v>
      </c>
      <c r="I6" s="2"/>
      <c r="J6" s="2"/>
    </row>
    <row r="7" spans="2:10" ht="14.4" customHeight="1" x14ac:dyDescent="0.35"/>
    <row r="8" spans="2:10" x14ac:dyDescent="0.35">
      <c r="B8" s="32"/>
    </row>
    <row r="9" spans="2:10" x14ac:dyDescent="0.35">
      <c r="B9" s="1" t="s">
        <v>41</v>
      </c>
    </row>
    <row r="10" spans="2:10" x14ac:dyDescent="0.35">
      <c r="B10" s="1" t="s">
        <v>37</v>
      </c>
    </row>
    <row r="11" spans="2:10" x14ac:dyDescent="0.35">
      <c r="B11" s="1" t="s">
        <v>0</v>
      </c>
    </row>
    <row r="12" spans="2:10" x14ac:dyDescent="0.35">
      <c r="B12" s="1"/>
      <c r="C12" s="1"/>
      <c r="D12" s="1"/>
      <c r="E12" s="1"/>
    </row>
    <row r="13" spans="2:10" x14ac:dyDescent="0.35">
      <c r="B13" s="1"/>
      <c r="C13" s="1"/>
      <c r="D13" s="1"/>
      <c r="E13" s="1"/>
    </row>
    <row r="14" spans="2:10" x14ac:dyDescent="0.35">
      <c r="B14" t="s">
        <v>66</v>
      </c>
      <c r="C14" s="1"/>
      <c r="D14" s="1"/>
      <c r="E14" s="1"/>
    </row>
    <row r="15" spans="2:10" x14ac:dyDescent="0.35">
      <c r="B15" t="s">
        <v>67</v>
      </c>
      <c r="C15" s="1"/>
      <c r="D15" s="1"/>
      <c r="E15" s="1"/>
    </row>
    <row r="16" spans="2:10" x14ac:dyDescent="0.35">
      <c r="B16" t="s">
        <v>68</v>
      </c>
      <c r="C16" s="1"/>
      <c r="D16" s="1"/>
      <c r="E16" s="1"/>
    </row>
    <row r="17" spans="1:15" x14ac:dyDescent="0.35">
      <c r="B17" s="1"/>
      <c r="D17" s="1"/>
      <c r="E17" s="1"/>
    </row>
    <row r="18" spans="1:15" x14ac:dyDescent="0.35">
      <c r="B18" s="32" t="s">
        <v>46</v>
      </c>
    </row>
    <row r="19" spans="1:15" x14ac:dyDescent="0.35">
      <c r="B19" s="1" t="s">
        <v>55</v>
      </c>
    </row>
    <row r="20" spans="1:15" x14ac:dyDescent="0.35">
      <c r="C20" s="30" t="s">
        <v>69</v>
      </c>
    </row>
    <row r="21" spans="1:15" x14ac:dyDescent="0.35">
      <c r="B21" s="1" t="s">
        <v>70</v>
      </c>
    </row>
    <row r="22" spans="1:15" x14ac:dyDescent="0.35">
      <c r="B22" s="1" t="s">
        <v>52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5">
      <c r="B23" s="1" t="s">
        <v>62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 customHeight="1" x14ac:dyDescent="0.35">
      <c r="A24" s="31"/>
      <c r="B24" s="98" t="s">
        <v>71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</row>
    <row r="26" spans="1:15" x14ac:dyDescent="0.35">
      <c r="C26" s="33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45"/>
  <sheetViews>
    <sheetView topLeftCell="E1" workbookViewId="0">
      <selection activeCell="J15" sqref="J15"/>
    </sheetView>
  </sheetViews>
  <sheetFormatPr defaultRowHeight="14.5" x14ac:dyDescent="0.35"/>
  <cols>
    <col min="2" max="2" width="10.08984375" bestFit="1" customWidth="1"/>
    <col min="3" max="3" width="18.1796875" bestFit="1" customWidth="1"/>
    <col min="4" max="4" width="29.6328125" customWidth="1"/>
    <col min="5" max="5" width="19.81640625" bestFit="1" customWidth="1"/>
    <col min="6" max="6" width="5.90625" customWidth="1"/>
    <col min="7" max="7" width="8" customWidth="1"/>
    <col min="8" max="8" width="11.81640625" bestFit="1" customWidth="1"/>
    <col min="9" max="9" width="11.6328125" bestFit="1" customWidth="1"/>
    <col min="10" max="10" width="25.54296875" bestFit="1" customWidth="1"/>
    <col min="11" max="11" width="9.90625" bestFit="1" customWidth="1"/>
    <col min="12" max="12" width="18.7265625" customWidth="1"/>
    <col min="13" max="13" width="8.81640625" bestFit="1" customWidth="1"/>
    <col min="15" max="15" width="4.81640625" customWidth="1"/>
    <col min="16" max="16" width="29.453125" customWidth="1"/>
    <col min="17" max="17" width="5" customWidth="1"/>
  </cols>
  <sheetData>
    <row r="1" spans="2:17" x14ac:dyDescent="0.35">
      <c r="B1" s="64" t="s">
        <v>63</v>
      </c>
      <c r="C1" s="65"/>
      <c r="D1" s="65"/>
      <c r="E1" s="66"/>
    </row>
    <row r="3" spans="2:17" x14ac:dyDescent="0.35">
      <c r="B3" s="106" t="s">
        <v>72</v>
      </c>
      <c r="C3" s="107"/>
      <c r="D3" s="107"/>
      <c r="E3" s="107"/>
      <c r="F3" s="107"/>
      <c r="G3" s="108"/>
    </row>
    <row r="5" spans="2:17" x14ac:dyDescent="0.35">
      <c r="B5" s="109" t="s">
        <v>10</v>
      </c>
      <c r="C5" s="110"/>
      <c r="D5" s="110"/>
      <c r="E5" s="111"/>
      <c r="G5" s="112" t="s">
        <v>24</v>
      </c>
      <c r="H5" s="113"/>
      <c r="I5" s="113"/>
      <c r="J5" s="113"/>
      <c r="K5" s="113"/>
      <c r="L5" s="113"/>
      <c r="M5" s="113"/>
      <c r="N5" s="113"/>
      <c r="O5" s="113"/>
      <c r="P5" s="113"/>
      <c r="Q5" s="114"/>
    </row>
    <row r="6" spans="2:17" ht="14.5" customHeight="1" x14ac:dyDescent="0.35">
      <c r="B6" s="15" t="s">
        <v>4</v>
      </c>
      <c r="C6" s="15" t="s">
        <v>1</v>
      </c>
      <c r="D6" s="15" t="s">
        <v>2</v>
      </c>
      <c r="E6" s="15" t="s">
        <v>3</v>
      </c>
      <c r="G6" s="79" t="s">
        <v>16</v>
      </c>
      <c r="H6" s="71" t="s">
        <v>5</v>
      </c>
      <c r="I6" s="68" t="s">
        <v>6</v>
      </c>
      <c r="J6" s="69"/>
      <c r="K6" s="69"/>
      <c r="L6" s="69"/>
      <c r="M6" s="69"/>
      <c r="N6" s="69"/>
      <c r="O6" s="70"/>
      <c r="P6" s="68" t="s">
        <v>7</v>
      </c>
      <c r="Q6" s="70"/>
    </row>
    <row r="7" spans="2:17" x14ac:dyDescent="0.35">
      <c r="B7" s="4">
        <v>1</v>
      </c>
      <c r="C7" s="100" t="s">
        <v>82</v>
      </c>
      <c r="D7" s="4" t="s">
        <v>83</v>
      </c>
      <c r="E7" s="4"/>
      <c r="G7" s="115"/>
      <c r="H7" s="119"/>
      <c r="I7" s="15" t="s">
        <v>73</v>
      </c>
      <c r="J7" s="15" t="s">
        <v>112</v>
      </c>
      <c r="K7" s="15" t="s">
        <v>78</v>
      </c>
      <c r="L7" s="15" t="s">
        <v>38</v>
      </c>
      <c r="M7" s="68" t="s">
        <v>110</v>
      </c>
      <c r="N7" s="69"/>
      <c r="O7" s="70"/>
      <c r="P7" s="68" t="s">
        <v>11</v>
      </c>
      <c r="Q7" s="70"/>
    </row>
    <row r="8" spans="2:17" x14ac:dyDescent="0.35">
      <c r="B8" s="4">
        <v>2</v>
      </c>
      <c r="C8" s="101"/>
      <c r="D8" s="4"/>
      <c r="E8" s="4" t="s">
        <v>84</v>
      </c>
      <c r="G8" s="15">
        <v>1</v>
      </c>
      <c r="H8" s="2">
        <v>1</v>
      </c>
      <c r="I8" s="2">
        <v>2000000</v>
      </c>
      <c r="J8" s="2" t="s">
        <v>114</v>
      </c>
      <c r="K8" s="2">
        <v>27</v>
      </c>
      <c r="L8" s="4" t="s">
        <v>113</v>
      </c>
      <c r="M8" s="57" t="s">
        <v>113</v>
      </c>
      <c r="N8" s="58"/>
      <c r="O8" s="59"/>
      <c r="P8" s="57" t="s">
        <v>117</v>
      </c>
      <c r="Q8" s="59"/>
    </row>
    <row r="9" spans="2:17" x14ac:dyDescent="0.35">
      <c r="B9" s="4">
        <v>3</v>
      </c>
      <c r="C9" s="101"/>
      <c r="D9" s="4"/>
      <c r="E9" s="4" t="s">
        <v>85</v>
      </c>
      <c r="G9" s="15">
        <v>2</v>
      </c>
      <c r="H9" s="2">
        <v>2</v>
      </c>
      <c r="I9" s="2">
        <v>2000000</v>
      </c>
      <c r="J9" s="2" t="s">
        <v>115</v>
      </c>
      <c r="K9" s="2">
        <v>-100</v>
      </c>
      <c r="L9" s="4" t="s">
        <v>113</v>
      </c>
      <c r="M9" s="57" t="s">
        <v>113</v>
      </c>
      <c r="N9" s="58"/>
      <c r="O9" s="59"/>
      <c r="P9" s="57" t="s">
        <v>118</v>
      </c>
      <c r="Q9" s="59"/>
    </row>
    <row r="10" spans="2:17" x14ac:dyDescent="0.35">
      <c r="B10" s="4">
        <v>4</v>
      </c>
      <c r="C10" s="102"/>
      <c r="D10" s="4"/>
      <c r="E10" s="4" t="s">
        <v>86</v>
      </c>
      <c r="G10" s="46">
        <v>3</v>
      </c>
      <c r="H10" s="47">
        <v>5</v>
      </c>
      <c r="I10" s="2">
        <v>2000000</v>
      </c>
      <c r="J10" s="47" t="s">
        <v>116</v>
      </c>
      <c r="K10" s="47">
        <v>10</v>
      </c>
      <c r="L10" s="48" t="s">
        <v>113</v>
      </c>
      <c r="M10" s="60" t="s">
        <v>113</v>
      </c>
      <c r="N10" s="61"/>
      <c r="O10" s="62"/>
      <c r="P10" s="60" t="s">
        <v>117</v>
      </c>
      <c r="Q10" s="62"/>
    </row>
    <row r="11" spans="2:17" ht="15" customHeight="1" x14ac:dyDescent="0.35">
      <c r="B11" s="4">
        <v>5</v>
      </c>
      <c r="C11" s="103" t="s">
        <v>79</v>
      </c>
      <c r="D11" s="4" t="s">
        <v>76</v>
      </c>
      <c r="E11" s="4"/>
      <c r="G11" s="26">
        <v>4</v>
      </c>
      <c r="H11" s="8">
        <v>7</v>
      </c>
      <c r="I11" s="2">
        <v>2000000</v>
      </c>
      <c r="J11" s="8" t="s">
        <v>13</v>
      </c>
      <c r="K11" s="8">
        <v>99</v>
      </c>
      <c r="L11" s="42" t="s">
        <v>113</v>
      </c>
      <c r="M11" s="63" t="s">
        <v>113</v>
      </c>
      <c r="N11" s="63"/>
      <c r="O11" s="63"/>
      <c r="P11" s="63" t="s">
        <v>118</v>
      </c>
      <c r="Q11" s="63"/>
    </row>
    <row r="12" spans="2:17" x14ac:dyDescent="0.35">
      <c r="B12" s="4">
        <v>6</v>
      </c>
      <c r="C12" s="104"/>
      <c r="D12" s="4"/>
      <c r="E12" s="4" t="s">
        <v>77</v>
      </c>
      <c r="G12" s="49"/>
      <c r="H12" s="50"/>
      <c r="I12" s="50"/>
      <c r="J12" s="50"/>
      <c r="K12" s="50"/>
      <c r="L12" s="50"/>
      <c r="M12" s="118"/>
      <c r="N12" s="118"/>
      <c r="O12" s="118"/>
      <c r="P12" s="116"/>
      <c r="Q12" s="116"/>
    </row>
    <row r="13" spans="2:17" x14ac:dyDescent="0.35">
      <c r="B13" s="4">
        <v>7</v>
      </c>
      <c r="C13" s="104"/>
      <c r="D13" s="4"/>
      <c r="E13" s="4" t="s">
        <v>80</v>
      </c>
      <c r="G13" s="49"/>
      <c r="H13" s="50"/>
      <c r="I13" s="50"/>
      <c r="J13" s="50"/>
      <c r="K13" s="50"/>
      <c r="L13" s="50"/>
      <c r="M13" s="118"/>
      <c r="N13" s="118"/>
      <c r="O13" s="118"/>
      <c r="P13" s="116"/>
      <c r="Q13" s="116"/>
    </row>
    <row r="14" spans="2:17" x14ac:dyDescent="0.35">
      <c r="B14" s="4">
        <v>8</v>
      </c>
      <c r="C14" s="105"/>
      <c r="D14" s="4" t="s">
        <v>81</v>
      </c>
      <c r="E14" s="4"/>
      <c r="G14" s="51"/>
      <c r="H14" s="52"/>
      <c r="I14" s="52"/>
      <c r="J14" s="52"/>
      <c r="K14" s="52"/>
      <c r="L14" s="52"/>
      <c r="M14" s="118"/>
      <c r="N14" s="118"/>
      <c r="O14" s="118"/>
      <c r="P14" s="117"/>
      <c r="Q14" s="117"/>
    </row>
    <row r="15" spans="2:17" x14ac:dyDescent="0.35">
      <c r="B15" s="4">
        <v>9</v>
      </c>
      <c r="C15" s="100" t="s">
        <v>87</v>
      </c>
      <c r="D15" s="4" t="s">
        <v>88</v>
      </c>
      <c r="E15" s="4"/>
      <c r="G15" s="51"/>
      <c r="H15" s="52"/>
      <c r="I15" s="52"/>
      <c r="J15" s="52"/>
      <c r="K15" s="52"/>
      <c r="L15" s="52"/>
      <c r="M15" s="118"/>
      <c r="N15" s="118"/>
      <c r="O15" s="118"/>
      <c r="P15" s="117"/>
      <c r="Q15" s="117"/>
    </row>
    <row r="16" spans="2:17" x14ac:dyDescent="0.35">
      <c r="B16" s="4">
        <v>10</v>
      </c>
      <c r="C16" s="101"/>
      <c r="D16" s="4" t="s">
        <v>22</v>
      </c>
      <c r="E16" s="4" t="s">
        <v>74</v>
      </c>
      <c r="G16" s="51"/>
      <c r="H16" s="52"/>
      <c r="I16" s="52"/>
      <c r="J16" s="52"/>
      <c r="K16" s="52"/>
      <c r="L16" s="52"/>
      <c r="M16" s="118"/>
      <c r="N16" s="118"/>
      <c r="O16" s="118"/>
      <c r="P16" s="117"/>
      <c r="Q16" s="117"/>
    </row>
    <row r="17" spans="2:17" x14ac:dyDescent="0.35">
      <c r="B17" s="4">
        <v>11</v>
      </c>
      <c r="C17" s="102"/>
      <c r="D17" s="4"/>
      <c r="E17" s="4" t="s">
        <v>75</v>
      </c>
      <c r="G17" s="51"/>
      <c r="H17" s="52"/>
      <c r="I17" s="52"/>
      <c r="J17" s="52"/>
      <c r="K17" s="52"/>
      <c r="L17" s="52"/>
      <c r="M17" s="118"/>
      <c r="N17" s="118"/>
      <c r="O17" s="118"/>
      <c r="P17" s="117"/>
      <c r="Q17" s="117"/>
    </row>
    <row r="18" spans="2:17" x14ac:dyDescent="0.35">
      <c r="B18" s="4">
        <v>12</v>
      </c>
      <c r="C18" s="100" t="s">
        <v>90</v>
      </c>
      <c r="D18" s="4" t="s">
        <v>91</v>
      </c>
      <c r="E18" s="4"/>
      <c r="G18" s="51"/>
      <c r="H18" s="52"/>
      <c r="I18" s="52"/>
      <c r="J18" s="52"/>
      <c r="K18" s="52"/>
      <c r="L18" s="52"/>
      <c r="M18" s="118"/>
      <c r="N18" s="118"/>
      <c r="O18" s="118"/>
      <c r="P18" s="117"/>
      <c r="Q18" s="117"/>
    </row>
    <row r="19" spans="2:17" x14ac:dyDescent="0.35">
      <c r="B19" s="4">
        <v>13</v>
      </c>
      <c r="C19" s="101"/>
      <c r="D19" s="4" t="s">
        <v>93</v>
      </c>
      <c r="E19" s="4"/>
      <c r="G19" s="20"/>
      <c r="M19" s="118"/>
      <c r="N19" s="118"/>
      <c r="O19" s="118"/>
      <c r="P19" s="117"/>
      <c r="Q19" s="117"/>
    </row>
    <row r="20" spans="2:17" x14ac:dyDescent="0.35">
      <c r="B20" s="4">
        <v>14</v>
      </c>
      <c r="C20" s="101"/>
      <c r="D20" s="4" t="s">
        <v>94</v>
      </c>
      <c r="E20" s="4"/>
    </row>
    <row r="21" spans="2:17" x14ac:dyDescent="0.35">
      <c r="B21" s="4">
        <v>15</v>
      </c>
      <c r="C21" s="101"/>
      <c r="D21" s="4" t="s">
        <v>95</v>
      </c>
      <c r="E21" s="4"/>
    </row>
    <row r="22" spans="2:17" x14ac:dyDescent="0.35">
      <c r="B22" s="4">
        <v>16</v>
      </c>
      <c r="C22" s="101"/>
      <c r="D22" s="4" t="s">
        <v>96</v>
      </c>
      <c r="E22" s="4"/>
      <c r="F22" s="120"/>
      <c r="G22" s="121"/>
    </row>
    <row r="23" spans="2:17" x14ac:dyDescent="0.35">
      <c r="B23" s="4">
        <v>17</v>
      </c>
      <c r="C23" s="101"/>
      <c r="D23" s="4" t="s">
        <v>97</v>
      </c>
      <c r="E23" s="4"/>
      <c r="F23" s="38"/>
      <c r="G23" s="38"/>
    </row>
    <row r="24" spans="2:17" x14ac:dyDescent="0.35">
      <c r="B24" s="4">
        <v>18</v>
      </c>
      <c r="C24" s="101"/>
      <c r="D24" s="4" t="s">
        <v>98</v>
      </c>
      <c r="E24" s="4"/>
      <c r="F24" s="38"/>
      <c r="G24" s="38"/>
    </row>
    <row r="25" spans="2:17" x14ac:dyDescent="0.35">
      <c r="B25" s="4">
        <v>19</v>
      </c>
      <c r="C25" s="101"/>
      <c r="D25" s="4" t="s">
        <v>99</v>
      </c>
      <c r="E25" s="4"/>
      <c r="F25" s="38"/>
      <c r="G25" s="38"/>
    </row>
    <row r="26" spans="2:17" x14ac:dyDescent="0.35">
      <c r="B26" s="4">
        <v>20</v>
      </c>
      <c r="C26" s="101"/>
      <c r="D26" s="4" t="s">
        <v>100</v>
      </c>
      <c r="E26" s="4"/>
      <c r="F26" s="38"/>
      <c r="G26" s="38"/>
    </row>
    <row r="27" spans="2:17" ht="43.5" x14ac:dyDescent="0.35">
      <c r="B27" s="4">
        <v>21</v>
      </c>
      <c r="C27" s="102"/>
      <c r="D27" s="4"/>
      <c r="E27" s="40" t="s">
        <v>101</v>
      </c>
      <c r="F27" s="38"/>
      <c r="G27" s="38"/>
    </row>
    <row r="28" spans="2:17" x14ac:dyDescent="0.35">
      <c r="B28" s="4">
        <v>22</v>
      </c>
      <c r="C28" s="100" t="s">
        <v>102</v>
      </c>
      <c r="D28" s="4" t="s">
        <v>103</v>
      </c>
      <c r="E28" s="4"/>
      <c r="F28" s="38"/>
      <c r="G28" s="38"/>
    </row>
    <row r="29" spans="2:17" x14ac:dyDescent="0.35">
      <c r="B29" s="4">
        <v>23</v>
      </c>
      <c r="C29" s="101"/>
      <c r="D29" s="4" t="s">
        <v>104</v>
      </c>
      <c r="E29" s="4"/>
      <c r="F29" s="38"/>
      <c r="G29" s="38"/>
    </row>
    <row r="30" spans="2:17" x14ac:dyDescent="0.35">
      <c r="B30" s="4">
        <v>24</v>
      </c>
      <c r="C30" s="101"/>
      <c r="D30" s="4" t="s">
        <v>105</v>
      </c>
      <c r="E30" s="4"/>
      <c r="F30" s="38"/>
      <c r="G30" s="38"/>
    </row>
    <row r="31" spans="2:17" x14ac:dyDescent="0.35">
      <c r="B31" s="4">
        <v>25</v>
      </c>
      <c r="C31" s="101"/>
      <c r="D31" s="4" t="s">
        <v>106</v>
      </c>
      <c r="E31" s="4"/>
      <c r="F31" s="38"/>
      <c r="G31" s="38"/>
    </row>
    <row r="32" spans="2:17" x14ac:dyDescent="0.35">
      <c r="B32" s="4">
        <v>26</v>
      </c>
      <c r="C32" s="101"/>
      <c r="D32" s="4" t="s">
        <v>107</v>
      </c>
      <c r="E32" s="4"/>
      <c r="F32" s="38"/>
      <c r="G32" s="38"/>
    </row>
    <row r="33" spans="2:7" x14ac:dyDescent="0.35">
      <c r="B33" s="4">
        <v>27</v>
      </c>
      <c r="C33" s="101"/>
      <c r="D33" s="4" t="s">
        <v>108</v>
      </c>
      <c r="E33" s="4"/>
      <c r="F33" s="38"/>
      <c r="G33" s="38"/>
    </row>
    <row r="34" spans="2:7" x14ac:dyDescent="0.35">
      <c r="B34" s="4">
        <v>28</v>
      </c>
      <c r="C34" s="101"/>
      <c r="D34" s="4" t="s">
        <v>109</v>
      </c>
      <c r="E34" s="4"/>
      <c r="F34" s="38"/>
      <c r="G34" s="38"/>
    </row>
    <row r="35" spans="2:7" ht="29" x14ac:dyDescent="0.35">
      <c r="B35" s="4">
        <v>29</v>
      </c>
      <c r="C35" s="102"/>
      <c r="D35" s="4"/>
      <c r="E35" s="40" t="s">
        <v>111</v>
      </c>
      <c r="F35" s="38"/>
      <c r="G35" s="38"/>
    </row>
    <row r="36" spans="2:7" x14ac:dyDescent="0.35">
      <c r="B36" s="6"/>
      <c r="C36" s="31"/>
      <c r="D36" s="6"/>
      <c r="E36" s="6"/>
      <c r="F36" s="38"/>
      <c r="G36" s="38"/>
    </row>
    <row r="37" spans="2:7" x14ac:dyDescent="0.35">
      <c r="B37" s="6"/>
      <c r="C37" s="31"/>
      <c r="D37" s="6"/>
      <c r="E37" s="6"/>
    </row>
    <row r="38" spans="2:7" x14ac:dyDescent="0.35">
      <c r="B38" s="6"/>
      <c r="C38" s="31"/>
      <c r="D38" s="6"/>
      <c r="E38" s="6"/>
    </row>
    <row r="39" spans="2:7" x14ac:dyDescent="0.35">
      <c r="B39" s="6"/>
      <c r="C39" s="31"/>
      <c r="D39" s="6"/>
      <c r="E39" s="6"/>
    </row>
    <row r="40" spans="2:7" x14ac:dyDescent="0.35">
      <c r="B40" s="6"/>
      <c r="C40" s="31"/>
      <c r="D40" s="6"/>
      <c r="E40" s="6"/>
    </row>
    <row r="41" spans="2:7" x14ac:dyDescent="0.35">
      <c r="B41" s="6"/>
      <c r="C41" s="31"/>
      <c r="D41" s="6"/>
      <c r="E41" s="6"/>
    </row>
    <row r="43" spans="2:7" x14ac:dyDescent="0.35">
      <c r="D43" t="s">
        <v>22</v>
      </c>
    </row>
    <row r="44" spans="2:7" x14ac:dyDescent="0.35">
      <c r="B44" t="s">
        <v>92</v>
      </c>
    </row>
    <row r="45" spans="2:7" x14ac:dyDescent="0.35">
      <c r="B45" t="s">
        <v>89</v>
      </c>
    </row>
  </sheetData>
  <mergeCells count="40">
    <mergeCell ref="M17:O17"/>
    <mergeCell ref="M18:O18"/>
    <mergeCell ref="M19:O19"/>
    <mergeCell ref="P16:Q16"/>
    <mergeCell ref="P17:Q17"/>
    <mergeCell ref="P18:Q18"/>
    <mergeCell ref="P19:Q19"/>
    <mergeCell ref="P15:Q15"/>
    <mergeCell ref="C28:C35"/>
    <mergeCell ref="B1:E1"/>
    <mergeCell ref="B3:G3"/>
    <mergeCell ref="B5:E5"/>
    <mergeCell ref="G5:Q5"/>
    <mergeCell ref="G6:G7"/>
    <mergeCell ref="P10:Q10"/>
    <mergeCell ref="P11:Q11"/>
    <mergeCell ref="P12:Q12"/>
    <mergeCell ref="P13:Q13"/>
    <mergeCell ref="P14:Q14"/>
    <mergeCell ref="M7:O7"/>
    <mergeCell ref="M8:O8"/>
    <mergeCell ref="M9:O9"/>
    <mergeCell ref="M10:O10"/>
    <mergeCell ref="M11:O11"/>
    <mergeCell ref="P9:Q9"/>
    <mergeCell ref="C7:C10"/>
    <mergeCell ref="C11:C14"/>
    <mergeCell ref="C15:C17"/>
    <mergeCell ref="C18:C27"/>
    <mergeCell ref="M12:O12"/>
    <mergeCell ref="M13:O13"/>
    <mergeCell ref="M14:O14"/>
    <mergeCell ref="M15:O15"/>
    <mergeCell ref="M16:O16"/>
    <mergeCell ref="P8:Q8"/>
    <mergeCell ref="H6:H7"/>
    <mergeCell ref="P6:Q6"/>
    <mergeCell ref="I6:O6"/>
    <mergeCell ref="P7:Q7"/>
    <mergeCell ref="F22:G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21"/>
  <sheetViews>
    <sheetView topLeftCell="A3" workbookViewId="0">
      <selection activeCell="I17" sqref="I17"/>
    </sheetView>
  </sheetViews>
  <sheetFormatPr defaultRowHeight="14.5" x14ac:dyDescent="0.35"/>
  <cols>
    <col min="2" max="2" width="11.26953125" bestFit="1" customWidth="1"/>
    <col min="3" max="3" width="12.6328125" bestFit="1" customWidth="1"/>
    <col min="4" max="4" width="30.08984375" bestFit="1" customWidth="1"/>
    <col min="5" max="5" width="7" customWidth="1"/>
    <col min="6" max="6" width="5.54296875" customWidth="1"/>
    <col min="7" max="7" width="9.453125" customWidth="1"/>
    <col min="9" max="9" width="10" customWidth="1"/>
    <col min="10" max="10" width="10.08984375" bestFit="1" customWidth="1"/>
    <col min="11" max="11" width="9.54296875" customWidth="1"/>
    <col min="12" max="12" width="18.26953125" bestFit="1" customWidth="1"/>
    <col min="13" max="13" width="7.26953125" bestFit="1" customWidth="1"/>
    <col min="14" max="14" width="12.81640625" bestFit="1" customWidth="1"/>
    <col min="15" max="15" width="8.81640625" bestFit="1" customWidth="1"/>
    <col min="16" max="16" width="18.08984375" bestFit="1" customWidth="1"/>
    <col min="17" max="17" width="23.26953125" customWidth="1"/>
    <col min="18" max="18" width="9.453125" customWidth="1"/>
  </cols>
  <sheetData>
    <row r="1" spans="2:18" x14ac:dyDescent="0.35">
      <c r="B1" s="64" t="s">
        <v>63</v>
      </c>
      <c r="C1" s="65"/>
      <c r="D1" s="65"/>
      <c r="E1" s="66"/>
    </row>
    <row r="3" spans="2:18" x14ac:dyDescent="0.35">
      <c r="B3" s="106" t="s">
        <v>72</v>
      </c>
      <c r="C3" s="107"/>
      <c r="D3" s="107"/>
      <c r="E3" s="107"/>
      <c r="F3" s="107"/>
      <c r="G3" s="108"/>
    </row>
    <row r="5" spans="2:18" x14ac:dyDescent="0.35">
      <c r="B5" s="129" t="s">
        <v>14</v>
      </c>
      <c r="C5" s="129"/>
      <c r="D5" s="129"/>
      <c r="E5" s="3"/>
      <c r="G5" s="128" t="s">
        <v>23</v>
      </c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</row>
    <row r="6" spans="2:18" ht="14.4" customHeight="1" x14ac:dyDescent="0.35">
      <c r="B6" s="4" t="s">
        <v>15</v>
      </c>
      <c r="C6" s="4" t="s">
        <v>1</v>
      </c>
      <c r="D6" s="4" t="s">
        <v>14</v>
      </c>
      <c r="E6" s="6"/>
      <c r="G6" s="79" t="s">
        <v>17</v>
      </c>
      <c r="H6" s="79" t="s">
        <v>18</v>
      </c>
      <c r="I6" s="79" t="s">
        <v>19</v>
      </c>
      <c r="J6" s="71" t="s">
        <v>20</v>
      </c>
      <c r="K6" s="130" t="s">
        <v>6</v>
      </c>
      <c r="L6" s="135"/>
      <c r="M6" s="135"/>
      <c r="N6" s="135"/>
      <c r="O6" s="135"/>
      <c r="P6" s="131"/>
      <c r="Q6" s="130" t="s">
        <v>7</v>
      </c>
      <c r="R6" s="131"/>
    </row>
    <row r="7" spans="2:18" x14ac:dyDescent="0.35">
      <c r="B7" s="100">
        <v>1</v>
      </c>
      <c r="C7" s="125" t="s">
        <v>119</v>
      </c>
      <c r="D7" s="2" t="s">
        <v>120</v>
      </c>
      <c r="G7" s="115"/>
      <c r="H7" s="115"/>
      <c r="I7" s="115"/>
      <c r="J7" s="119"/>
      <c r="K7" s="15" t="s">
        <v>73</v>
      </c>
      <c r="L7" s="15" t="s">
        <v>112</v>
      </c>
      <c r="M7" s="25" t="s">
        <v>136</v>
      </c>
      <c r="N7" s="25" t="s">
        <v>38</v>
      </c>
      <c r="O7" s="68" t="s">
        <v>110</v>
      </c>
      <c r="P7" s="70"/>
      <c r="Q7" s="68" t="s">
        <v>31</v>
      </c>
      <c r="R7" s="70"/>
    </row>
    <row r="8" spans="2:18" x14ac:dyDescent="0.35">
      <c r="B8" s="101"/>
      <c r="C8" s="126"/>
      <c r="D8" s="2" t="s">
        <v>121</v>
      </c>
      <c r="G8" s="15">
        <v>1</v>
      </c>
      <c r="H8" s="10">
        <v>3</v>
      </c>
      <c r="I8" s="9"/>
      <c r="J8" s="9" t="s">
        <v>137</v>
      </c>
      <c r="K8" s="24">
        <v>2000000</v>
      </c>
      <c r="L8" s="24" t="s">
        <v>39</v>
      </c>
      <c r="M8" s="24">
        <v>5</v>
      </c>
      <c r="N8" s="24" t="s">
        <v>113</v>
      </c>
      <c r="O8" s="123" t="s">
        <v>113</v>
      </c>
      <c r="P8" s="124"/>
      <c r="Q8" s="123" t="s">
        <v>138</v>
      </c>
      <c r="R8" s="124"/>
    </row>
    <row r="9" spans="2:18" x14ac:dyDescent="0.35">
      <c r="B9" s="101"/>
      <c r="C9" s="126"/>
      <c r="D9" s="2" t="s">
        <v>122</v>
      </c>
      <c r="G9" s="12">
        <v>2</v>
      </c>
      <c r="H9" s="13">
        <v>2</v>
      </c>
      <c r="I9" s="14"/>
      <c r="J9" s="14" t="s">
        <v>21</v>
      </c>
      <c r="K9" s="24">
        <v>2000000</v>
      </c>
      <c r="L9" s="11" t="s">
        <v>9</v>
      </c>
      <c r="M9" s="24">
        <v>5</v>
      </c>
      <c r="N9" s="24" t="s">
        <v>113</v>
      </c>
      <c r="O9" s="123" t="s">
        <v>113</v>
      </c>
      <c r="P9" s="124"/>
      <c r="Q9" s="133" t="s">
        <v>140</v>
      </c>
      <c r="R9" s="134"/>
    </row>
    <row r="10" spans="2:18" x14ac:dyDescent="0.35">
      <c r="B10" s="101"/>
      <c r="C10" s="126"/>
      <c r="D10" s="2" t="s">
        <v>123</v>
      </c>
      <c r="G10" s="15">
        <v>3</v>
      </c>
      <c r="H10" s="10">
        <v>10</v>
      </c>
      <c r="I10" s="9"/>
      <c r="J10" s="9" t="s">
        <v>137</v>
      </c>
      <c r="K10" s="24">
        <v>2000000</v>
      </c>
      <c r="L10" s="24" t="s">
        <v>139</v>
      </c>
      <c r="M10" s="24">
        <v>0</v>
      </c>
      <c r="N10" s="24" t="s">
        <v>113</v>
      </c>
      <c r="O10" s="123" t="s">
        <v>113</v>
      </c>
      <c r="P10" s="124"/>
      <c r="Q10" s="123" t="s">
        <v>118</v>
      </c>
      <c r="R10" s="124"/>
    </row>
    <row r="11" spans="2:18" x14ac:dyDescent="0.35">
      <c r="B11" s="101"/>
      <c r="C11" s="126"/>
      <c r="D11" s="2" t="s">
        <v>124</v>
      </c>
      <c r="G11" s="15">
        <v>4</v>
      </c>
      <c r="H11" s="10">
        <v>11</v>
      </c>
      <c r="I11" s="9"/>
      <c r="J11" s="9" t="s">
        <v>137</v>
      </c>
      <c r="K11" s="24">
        <v>2000000</v>
      </c>
      <c r="L11" s="24" t="s">
        <v>139</v>
      </c>
      <c r="M11" s="24">
        <v>1</v>
      </c>
      <c r="N11" s="24" t="s">
        <v>113</v>
      </c>
      <c r="O11" s="123" t="s">
        <v>113</v>
      </c>
      <c r="P11" s="124"/>
      <c r="Q11" s="123" t="s">
        <v>138</v>
      </c>
      <c r="R11" s="124"/>
    </row>
    <row r="12" spans="2:18" x14ac:dyDescent="0.35">
      <c r="B12" s="102"/>
      <c r="C12" s="127"/>
      <c r="D12" s="2" t="s">
        <v>125</v>
      </c>
      <c r="G12" s="15">
        <v>5</v>
      </c>
      <c r="H12" s="10">
        <v>1</v>
      </c>
      <c r="I12" s="9"/>
      <c r="J12" s="9" t="s">
        <v>137</v>
      </c>
      <c r="K12" s="24">
        <v>2000000</v>
      </c>
      <c r="L12" s="24" t="s">
        <v>145</v>
      </c>
      <c r="M12" s="24">
        <v>50</v>
      </c>
      <c r="N12" s="24" t="s">
        <v>113</v>
      </c>
      <c r="O12" s="123" t="s">
        <v>113</v>
      </c>
      <c r="P12" s="124"/>
      <c r="Q12" s="123" t="s">
        <v>118</v>
      </c>
      <c r="R12" s="124"/>
    </row>
    <row r="13" spans="2:18" x14ac:dyDescent="0.35">
      <c r="B13" s="122">
        <v>2</v>
      </c>
      <c r="C13" s="122" t="s">
        <v>88</v>
      </c>
      <c r="D13" s="2" t="s">
        <v>126</v>
      </c>
      <c r="G13" s="12">
        <v>6</v>
      </c>
      <c r="H13" s="13">
        <v>6</v>
      </c>
      <c r="I13" s="14"/>
      <c r="J13" s="14" t="s">
        <v>21</v>
      </c>
      <c r="K13" s="24">
        <v>2000000</v>
      </c>
      <c r="L13" s="11" t="s">
        <v>141</v>
      </c>
      <c r="M13" s="24">
        <v>23</v>
      </c>
      <c r="N13" s="24" t="s">
        <v>113</v>
      </c>
      <c r="O13" s="123" t="s">
        <v>113</v>
      </c>
      <c r="P13" s="124"/>
      <c r="Q13" s="133" t="s">
        <v>140</v>
      </c>
      <c r="R13" s="134"/>
    </row>
    <row r="14" spans="2:18" x14ac:dyDescent="0.35">
      <c r="B14" s="122"/>
      <c r="C14" s="122"/>
      <c r="D14" s="2" t="s">
        <v>127</v>
      </c>
      <c r="G14" s="20"/>
      <c r="H14" s="43"/>
      <c r="I14" s="44"/>
      <c r="J14" s="44"/>
      <c r="K14" s="45"/>
      <c r="L14" s="45"/>
      <c r="M14" s="45"/>
      <c r="N14" s="45"/>
      <c r="O14" s="45"/>
      <c r="P14" s="45"/>
      <c r="Q14" s="132"/>
      <c r="R14" s="132"/>
    </row>
    <row r="15" spans="2:18" x14ac:dyDescent="0.35">
      <c r="B15" s="122"/>
      <c r="C15" s="122"/>
      <c r="D15" s="2" t="s">
        <v>128</v>
      </c>
      <c r="G15" s="20"/>
      <c r="H15" s="43"/>
      <c r="I15" s="44"/>
      <c r="J15" s="44"/>
      <c r="K15" s="45"/>
      <c r="L15" s="45"/>
      <c r="M15" s="45"/>
      <c r="N15" s="45"/>
      <c r="O15" s="45"/>
      <c r="P15" s="45"/>
      <c r="Q15" s="132"/>
      <c r="R15" s="132"/>
    </row>
    <row r="16" spans="2:18" x14ac:dyDescent="0.35">
      <c r="B16" s="100">
        <v>3</v>
      </c>
      <c r="C16" s="125" t="s">
        <v>129</v>
      </c>
      <c r="D16" s="2" t="s">
        <v>130</v>
      </c>
      <c r="G16" s="20"/>
      <c r="H16" s="43"/>
      <c r="I16" s="44"/>
      <c r="J16" s="44"/>
      <c r="K16" s="45"/>
      <c r="L16" s="45"/>
      <c r="M16" s="45"/>
      <c r="N16" s="45"/>
      <c r="O16" s="45"/>
      <c r="P16" s="45"/>
      <c r="Q16" s="132"/>
      <c r="R16" s="132"/>
    </row>
    <row r="17" spans="2:18" x14ac:dyDescent="0.35">
      <c r="B17" s="101"/>
      <c r="C17" s="126"/>
      <c r="D17" s="2" t="s">
        <v>131</v>
      </c>
      <c r="G17" s="20"/>
      <c r="H17" s="43"/>
      <c r="I17" s="44"/>
      <c r="J17" s="44"/>
      <c r="K17" s="45"/>
      <c r="L17" s="45"/>
      <c r="M17" s="45"/>
      <c r="N17" s="45"/>
      <c r="O17" s="45"/>
      <c r="P17" s="45"/>
      <c r="Q17" s="132"/>
      <c r="R17" s="132"/>
    </row>
    <row r="18" spans="2:18" x14ac:dyDescent="0.35">
      <c r="B18" s="101"/>
      <c r="C18" s="126"/>
      <c r="D18" s="2" t="s">
        <v>132</v>
      </c>
      <c r="G18" s="20"/>
      <c r="H18" s="43"/>
      <c r="I18" s="44"/>
      <c r="J18" s="44"/>
      <c r="K18" s="45"/>
      <c r="L18" s="45"/>
      <c r="M18" s="45"/>
      <c r="N18" s="45"/>
      <c r="O18" s="45"/>
      <c r="P18" s="45"/>
      <c r="Q18" s="132"/>
      <c r="R18" s="132"/>
    </row>
    <row r="19" spans="2:18" x14ac:dyDescent="0.35">
      <c r="B19" s="101"/>
      <c r="C19" s="126"/>
      <c r="D19" s="2" t="s">
        <v>133</v>
      </c>
      <c r="G19" s="20"/>
      <c r="H19" s="43"/>
      <c r="I19" s="44"/>
      <c r="J19" s="44"/>
      <c r="K19" s="45"/>
      <c r="L19" s="45"/>
      <c r="M19" s="45"/>
      <c r="N19" s="45"/>
      <c r="O19" s="45"/>
      <c r="P19" s="45"/>
      <c r="Q19" s="132"/>
      <c r="R19" s="132"/>
    </row>
    <row r="20" spans="2:18" x14ac:dyDescent="0.35">
      <c r="B20" s="101"/>
      <c r="C20" s="126"/>
      <c r="D20" s="2" t="s">
        <v>134</v>
      </c>
      <c r="G20" s="20"/>
      <c r="H20" s="43"/>
      <c r="I20" s="44"/>
      <c r="J20" s="44"/>
      <c r="K20" s="45"/>
      <c r="L20" s="45"/>
      <c r="M20" s="45"/>
      <c r="N20" s="45"/>
      <c r="O20" s="45"/>
      <c r="P20" s="45"/>
      <c r="Q20" s="132"/>
      <c r="R20" s="132"/>
    </row>
    <row r="21" spans="2:18" x14ac:dyDescent="0.35">
      <c r="B21" s="102"/>
      <c r="C21" s="127"/>
      <c r="D21" s="2" t="s">
        <v>135</v>
      </c>
      <c r="G21" s="20"/>
      <c r="H21" s="43"/>
      <c r="I21" s="44"/>
      <c r="J21" s="44"/>
      <c r="K21" s="45"/>
      <c r="L21" s="45"/>
      <c r="M21" s="45"/>
      <c r="N21" s="45"/>
      <c r="O21" s="45"/>
      <c r="P21" s="45"/>
      <c r="Q21" s="132"/>
      <c r="R21" s="132"/>
    </row>
  </sheetData>
  <mergeCells count="38">
    <mergeCell ref="Q17:R17"/>
    <mergeCell ref="Q18:R18"/>
    <mergeCell ref="Q13:R13"/>
    <mergeCell ref="K6:P6"/>
    <mergeCell ref="Q10:R10"/>
    <mergeCell ref="Q11:R11"/>
    <mergeCell ref="Q12:R12"/>
    <mergeCell ref="C16:C21"/>
    <mergeCell ref="B16:B21"/>
    <mergeCell ref="G5:R5"/>
    <mergeCell ref="B3:G3"/>
    <mergeCell ref="Q7:R7"/>
    <mergeCell ref="B5:D5"/>
    <mergeCell ref="Q6:R6"/>
    <mergeCell ref="H6:H7"/>
    <mergeCell ref="Q14:R14"/>
    <mergeCell ref="Q15:R15"/>
    <mergeCell ref="Q19:R19"/>
    <mergeCell ref="Q20:R20"/>
    <mergeCell ref="Q21:R21"/>
    <mergeCell ref="Q8:R8"/>
    <mergeCell ref="Q9:R9"/>
    <mergeCell ref="Q16:R16"/>
    <mergeCell ref="B1:E1"/>
    <mergeCell ref="G6:G7"/>
    <mergeCell ref="I6:I7"/>
    <mergeCell ref="J6:J7"/>
    <mergeCell ref="B7:B12"/>
    <mergeCell ref="C7:C12"/>
    <mergeCell ref="B13:B15"/>
    <mergeCell ref="C13:C15"/>
    <mergeCell ref="O7:P7"/>
    <mergeCell ref="O8:P8"/>
    <mergeCell ref="O9:P9"/>
    <mergeCell ref="O10:P10"/>
    <mergeCell ref="O11:P11"/>
    <mergeCell ref="O12:P12"/>
    <mergeCell ref="O13:P13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workbookViewId="0">
      <selection activeCell="N20" sqref="N20:P20"/>
    </sheetView>
  </sheetViews>
  <sheetFormatPr defaultRowHeight="14.5" x14ac:dyDescent="0.35"/>
  <cols>
    <col min="6" max="6" width="26.54296875" bestFit="1" customWidth="1"/>
    <col min="7" max="7" width="17.54296875" bestFit="1" customWidth="1"/>
    <col min="8" max="8" width="10.54296875" customWidth="1"/>
    <col min="9" max="9" width="13.1796875" bestFit="1" customWidth="1"/>
    <col min="10" max="10" width="8.81640625" bestFit="1" customWidth="1"/>
    <col min="12" max="12" width="9.90625" customWidth="1"/>
    <col min="13" max="13" width="30.26953125" bestFit="1" customWidth="1"/>
    <col min="14" max="14" width="10.81640625" customWidth="1"/>
  </cols>
  <sheetData>
    <row r="1" spans="2:14" x14ac:dyDescent="0.35">
      <c r="B1" s="64" t="s">
        <v>63</v>
      </c>
      <c r="C1" s="65"/>
      <c r="D1" s="65"/>
      <c r="E1" s="66"/>
    </row>
    <row r="3" spans="2:14" x14ac:dyDescent="0.35">
      <c r="B3" s="75" t="s">
        <v>51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</row>
    <row r="4" spans="2:14" x14ac:dyDescent="0.35">
      <c r="B4" s="79" t="s">
        <v>26</v>
      </c>
      <c r="C4" s="73" t="s">
        <v>27</v>
      </c>
      <c r="D4" s="81" t="s">
        <v>48</v>
      </c>
      <c r="E4" s="71" t="s">
        <v>25</v>
      </c>
      <c r="F4" s="68" t="s">
        <v>6</v>
      </c>
      <c r="G4" s="69"/>
      <c r="H4" s="69"/>
      <c r="I4" s="69"/>
      <c r="J4" s="69"/>
      <c r="K4" s="69"/>
      <c r="L4" s="70"/>
      <c r="M4" s="67" t="s">
        <v>7</v>
      </c>
      <c r="N4" s="67"/>
    </row>
    <row r="5" spans="2:14" ht="15" thickBot="1" x14ac:dyDescent="0.4">
      <c r="B5" s="80"/>
      <c r="C5" s="74"/>
      <c r="D5" s="82"/>
      <c r="E5" s="72"/>
      <c r="F5" s="18" t="s">
        <v>73</v>
      </c>
      <c r="G5" s="18" t="s">
        <v>112</v>
      </c>
      <c r="H5" s="18" t="s">
        <v>136</v>
      </c>
      <c r="I5" s="18" t="s">
        <v>38</v>
      </c>
      <c r="J5" s="54" t="s">
        <v>110</v>
      </c>
      <c r="K5" s="55"/>
      <c r="L5" s="56"/>
      <c r="M5" s="18" t="s">
        <v>11</v>
      </c>
      <c r="N5" s="37" t="s">
        <v>12</v>
      </c>
    </row>
    <row r="6" spans="2:14" ht="15" thickTop="1" x14ac:dyDescent="0.35">
      <c r="B6" s="16">
        <v>1</v>
      </c>
      <c r="C6" s="77" t="s">
        <v>53</v>
      </c>
      <c r="D6" s="21" t="s">
        <v>49</v>
      </c>
      <c r="E6" s="16" t="s">
        <v>8</v>
      </c>
      <c r="F6" s="2">
        <v>200000</v>
      </c>
      <c r="G6" s="2" t="s">
        <v>114</v>
      </c>
      <c r="H6" s="2">
        <v>27</v>
      </c>
      <c r="I6" s="4" t="s">
        <v>113</v>
      </c>
      <c r="J6" s="57" t="s">
        <v>113</v>
      </c>
      <c r="K6" s="58"/>
      <c r="L6" s="59"/>
      <c r="M6" s="36" t="s">
        <v>117</v>
      </c>
      <c r="N6" s="35"/>
    </row>
    <row r="7" spans="2:14" x14ac:dyDescent="0.35">
      <c r="B7" s="7">
        <f>B6+1</f>
        <v>2</v>
      </c>
      <c r="C7" s="77"/>
      <c r="D7" s="22" t="s">
        <v>142</v>
      </c>
      <c r="E7" s="7" t="s">
        <v>8</v>
      </c>
      <c r="F7" s="2">
        <v>200000</v>
      </c>
      <c r="G7" s="2" t="s">
        <v>115</v>
      </c>
      <c r="H7" s="2">
        <v>-100</v>
      </c>
      <c r="I7" s="4" t="s">
        <v>113</v>
      </c>
      <c r="J7" s="57" t="s">
        <v>113</v>
      </c>
      <c r="K7" s="58"/>
      <c r="L7" s="59"/>
      <c r="M7" s="35" t="s">
        <v>118</v>
      </c>
      <c r="N7" s="35"/>
    </row>
    <row r="8" spans="2:14" x14ac:dyDescent="0.35">
      <c r="B8" s="7">
        <f t="shared" ref="B8:B13" si="0">B7+1</f>
        <v>3</v>
      </c>
      <c r="C8" s="77"/>
      <c r="D8" s="22" t="s">
        <v>50</v>
      </c>
      <c r="E8" s="7" t="s">
        <v>8</v>
      </c>
      <c r="F8" s="2">
        <v>200000</v>
      </c>
      <c r="G8" s="47" t="s">
        <v>116</v>
      </c>
      <c r="H8" s="47">
        <v>10</v>
      </c>
      <c r="I8" s="48" t="s">
        <v>113</v>
      </c>
      <c r="J8" s="60" t="s">
        <v>113</v>
      </c>
      <c r="K8" s="61"/>
      <c r="L8" s="62"/>
      <c r="M8" s="41" t="s">
        <v>117</v>
      </c>
      <c r="N8" s="41"/>
    </row>
    <row r="9" spans="2:14" x14ac:dyDescent="0.35">
      <c r="B9" s="7">
        <f t="shared" si="0"/>
        <v>4</v>
      </c>
      <c r="C9" s="77"/>
      <c r="D9" s="22" t="s">
        <v>143</v>
      </c>
      <c r="E9" s="7" t="s">
        <v>8</v>
      </c>
      <c r="F9" s="2">
        <v>200000</v>
      </c>
      <c r="G9" s="8" t="s">
        <v>13</v>
      </c>
      <c r="H9" s="8">
        <v>99</v>
      </c>
      <c r="I9" s="42" t="s">
        <v>113</v>
      </c>
      <c r="J9" s="63" t="s">
        <v>113</v>
      </c>
      <c r="K9" s="63"/>
      <c r="L9" s="63"/>
      <c r="M9" s="41" t="s">
        <v>118</v>
      </c>
      <c r="N9" s="41"/>
    </row>
    <row r="10" spans="2:14" x14ac:dyDescent="0.35">
      <c r="B10" s="7">
        <f t="shared" si="0"/>
        <v>5</v>
      </c>
      <c r="C10" s="77"/>
      <c r="D10" s="22" t="s">
        <v>8</v>
      </c>
      <c r="E10" s="7" t="s">
        <v>144</v>
      </c>
      <c r="F10" s="2">
        <v>200000</v>
      </c>
      <c r="G10" s="24" t="s">
        <v>39</v>
      </c>
      <c r="H10" s="24">
        <v>5</v>
      </c>
      <c r="I10" s="9" t="s">
        <v>113</v>
      </c>
      <c r="J10" s="53" t="s">
        <v>113</v>
      </c>
      <c r="K10" s="53"/>
      <c r="L10" s="53"/>
      <c r="M10" s="39" t="s">
        <v>138</v>
      </c>
      <c r="N10" s="7"/>
    </row>
    <row r="11" spans="2:14" x14ac:dyDescent="0.35">
      <c r="B11" s="7">
        <f t="shared" si="0"/>
        <v>6</v>
      </c>
      <c r="C11" s="77"/>
      <c r="D11" s="22" t="s">
        <v>8</v>
      </c>
      <c r="E11" s="7" t="s">
        <v>28</v>
      </c>
      <c r="F11" s="2">
        <v>200000</v>
      </c>
      <c r="G11" s="24" t="s">
        <v>139</v>
      </c>
      <c r="H11" s="24">
        <v>0</v>
      </c>
      <c r="I11" s="9" t="s">
        <v>113</v>
      </c>
      <c r="J11" s="53" t="s">
        <v>113</v>
      </c>
      <c r="K11" s="53"/>
      <c r="L11" s="53"/>
      <c r="M11" s="39" t="s">
        <v>118</v>
      </c>
      <c r="N11" s="7"/>
    </row>
    <row r="12" spans="2:14" x14ac:dyDescent="0.35">
      <c r="B12" s="7">
        <f t="shared" si="0"/>
        <v>7</v>
      </c>
      <c r="C12" s="77"/>
      <c r="D12" s="22" t="s">
        <v>8</v>
      </c>
      <c r="E12" s="7" t="s">
        <v>29</v>
      </c>
      <c r="F12" s="2">
        <v>200000</v>
      </c>
      <c r="G12" s="24" t="s">
        <v>139</v>
      </c>
      <c r="H12" s="24">
        <v>1</v>
      </c>
      <c r="I12" s="9" t="s">
        <v>113</v>
      </c>
      <c r="J12" s="53" t="s">
        <v>113</v>
      </c>
      <c r="K12" s="53"/>
      <c r="L12" s="53"/>
      <c r="M12" s="39" t="s">
        <v>138</v>
      </c>
      <c r="N12" s="7"/>
    </row>
    <row r="13" spans="2:14" ht="15" thickBot="1" x14ac:dyDescent="0.4">
      <c r="B13" s="17">
        <f t="shared" si="0"/>
        <v>8</v>
      </c>
      <c r="C13" s="78"/>
      <c r="D13" s="23" t="s">
        <v>8</v>
      </c>
      <c r="E13" s="17" t="s">
        <v>30</v>
      </c>
      <c r="F13" s="2">
        <v>200000</v>
      </c>
      <c r="G13" s="24" t="s">
        <v>145</v>
      </c>
      <c r="H13" s="24">
        <v>50</v>
      </c>
      <c r="I13" s="9" t="s">
        <v>113</v>
      </c>
      <c r="J13" s="53" t="s">
        <v>113</v>
      </c>
      <c r="K13" s="53"/>
      <c r="L13" s="53"/>
      <c r="M13" s="39" t="s">
        <v>118</v>
      </c>
      <c r="N13" s="17"/>
    </row>
    <row r="14" spans="2:14" ht="15" thickTop="1" x14ac:dyDescent="0.35">
      <c r="B14" s="19"/>
      <c r="C14" s="19"/>
      <c r="D14" s="20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2:14" ht="14.4" customHeight="1" x14ac:dyDescent="0.35">
      <c r="B15" s="19" t="s">
        <v>32</v>
      </c>
      <c r="C15" s="19"/>
      <c r="D15" s="20"/>
      <c r="E15" s="19"/>
      <c r="F15" s="5"/>
      <c r="G15" s="5"/>
      <c r="H15" s="5"/>
      <c r="I15" s="5"/>
      <c r="J15" s="5"/>
      <c r="K15" s="76"/>
      <c r="L15" s="76"/>
      <c r="M15" s="5"/>
    </row>
    <row r="16" spans="2:14" ht="15" thickBot="1" x14ac:dyDescent="0.4">
      <c r="M16" s="5"/>
    </row>
    <row r="17" spans="2:16" ht="15" thickTop="1" x14ac:dyDescent="0.35">
      <c r="C17" s="87" t="s">
        <v>34</v>
      </c>
      <c r="D17" s="88"/>
      <c r="E17" s="88"/>
      <c r="F17" s="89"/>
      <c r="G17" s="28" t="s">
        <v>36</v>
      </c>
      <c r="H17" s="87" t="s">
        <v>35</v>
      </c>
      <c r="I17" s="90"/>
      <c r="J17" s="88"/>
      <c r="K17" s="88"/>
      <c r="L17" s="89"/>
      <c r="M17" s="87" t="s">
        <v>40</v>
      </c>
      <c r="N17" s="90"/>
      <c r="O17" s="88"/>
      <c r="P17" s="89"/>
    </row>
    <row r="18" spans="2:16" ht="14.4" customHeight="1" x14ac:dyDescent="0.35">
      <c r="B18" s="83" t="s">
        <v>27</v>
      </c>
      <c r="C18" s="84" t="s">
        <v>45</v>
      </c>
      <c r="D18" s="85" t="s">
        <v>44</v>
      </c>
      <c r="E18" s="85" t="s">
        <v>43</v>
      </c>
      <c r="F18" s="86" t="s">
        <v>42</v>
      </c>
      <c r="G18" s="95" t="s">
        <v>54</v>
      </c>
      <c r="H18" s="91" t="s">
        <v>33</v>
      </c>
      <c r="I18" s="92"/>
      <c r="J18" s="85" t="s">
        <v>45</v>
      </c>
      <c r="K18" s="85" t="s">
        <v>44</v>
      </c>
      <c r="L18" s="86" t="s">
        <v>43</v>
      </c>
      <c r="M18" s="96" t="s">
        <v>33</v>
      </c>
      <c r="N18" s="85" t="s">
        <v>45</v>
      </c>
      <c r="O18" s="85" t="s">
        <v>44</v>
      </c>
      <c r="P18" s="86" t="s">
        <v>43</v>
      </c>
    </row>
    <row r="19" spans="2:16" x14ac:dyDescent="0.35">
      <c r="B19" s="83"/>
      <c r="C19" s="84"/>
      <c r="D19" s="85"/>
      <c r="E19" s="85"/>
      <c r="F19" s="86"/>
      <c r="G19" s="95"/>
      <c r="H19" s="93"/>
      <c r="I19" s="94"/>
      <c r="J19" s="85"/>
      <c r="K19" s="85"/>
      <c r="L19" s="86"/>
      <c r="M19" s="97"/>
      <c r="N19" s="85"/>
      <c r="O19" s="85"/>
      <c r="P19" s="86"/>
    </row>
    <row r="20" spans="2:16" ht="72.5" x14ac:dyDescent="0.35">
      <c r="B20" s="29" t="s">
        <v>53</v>
      </c>
      <c r="C20" s="136">
        <v>8</v>
      </c>
      <c r="D20" s="137">
        <v>4</v>
      </c>
      <c r="E20" s="137">
        <v>4</v>
      </c>
      <c r="F20" s="138" t="s">
        <v>146</v>
      </c>
      <c r="G20" s="139" t="s">
        <v>147</v>
      </c>
      <c r="H20" s="140" t="s">
        <v>137</v>
      </c>
      <c r="I20" s="141"/>
      <c r="J20" s="142">
        <v>4</v>
      </c>
      <c r="K20" s="137">
        <v>4</v>
      </c>
      <c r="L20" s="138">
        <v>0</v>
      </c>
      <c r="M20" s="143" t="s">
        <v>137</v>
      </c>
      <c r="N20" s="142">
        <v>4</v>
      </c>
      <c r="O20" s="137">
        <v>4</v>
      </c>
      <c r="P20" s="138">
        <v>0</v>
      </c>
    </row>
    <row r="21" spans="2:16" x14ac:dyDescent="0.35">
      <c r="M21" s="3"/>
    </row>
  </sheetData>
  <mergeCells count="37">
    <mergeCell ref="L18:L19"/>
    <mergeCell ref="O18:O19"/>
    <mergeCell ref="P18:P19"/>
    <mergeCell ref="M17:P17"/>
    <mergeCell ref="M18:M19"/>
    <mergeCell ref="N18:N19"/>
    <mergeCell ref="K15:L15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L17"/>
    <mergeCell ref="H18:I19"/>
    <mergeCell ref="G18:G19"/>
    <mergeCell ref="K18:K19"/>
    <mergeCell ref="B1:E1"/>
    <mergeCell ref="M4:N4"/>
    <mergeCell ref="F4:L4"/>
    <mergeCell ref="E4:E5"/>
    <mergeCell ref="C4:C5"/>
    <mergeCell ref="B3:N3"/>
    <mergeCell ref="J11:L11"/>
    <mergeCell ref="J12:L12"/>
    <mergeCell ref="J13:L13"/>
    <mergeCell ref="J5:L5"/>
    <mergeCell ref="J7:L7"/>
    <mergeCell ref="J8:L8"/>
    <mergeCell ref="J9:L9"/>
    <mergeCell ref="J10:L10"/>
    <mergeCell ref="J6:L6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0" ma:contentTypeDescription="Create a new document." ma:contentTypeScope="" ma:versionID="23dedcede4fc4caec29d0314c04f027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31F88B-55A0-44BD-B315-36208334B7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2026-03-20T19:51:50Z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